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Sheet1!$A$1:$G$200</definedName>
    <definedName name="_xlnm._FilterDatabase" localSheetId="1" hidden="1">Sheet2!$A$1:$G$200</definedName>
  </definedNames>
  <calcPr calcId="124519"/>
</workbook>
</file>

<file path=xl/calcChain.xml><?xml version="1.0" encoding="utf-8"?>
<calcChain xmlns="http://schemas.openxmlformats.org/spreadsheetml/2006/main">
  <c r="G203" i="2"/>
  <c r="G202"/>
  <c r="D3" i="1"/>
  <c r="D7"/>
  <c r="G85"/>
  <c r="G86"/>
  <c r="G87"/>
  <c r="G88"/>
  <c r="G119"/>
  <c r="G181"/>
  <c r="G182"/>
  <c r="F204"/>
  <c r="F203"/>
  <c r="F202"/>
  <c r="G4" s="1"/>
  <c r="F201"/>
  <c r="C4"/>
  <c r="E4" s="1"/>
  <c r="C5"/>
  <c r="E5" s="1"/>
  <c r="C6"/>
  <c r="E6" s="1"/>
  <c r="C7"/>
  <c r="E7" s="1"/>
  <c r="C8"/>
  <c r="E8" s="1"/>
  <c r="C9"/>
  <c r="E9" s="1"/>
  <c r="C10"/>
  <c r="E10" s="1"/>
  <c r="C11"/>
  <c r="E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E19" s="1"/>
  <c r="C20"/>
  <c r="E20" s="1"/>
  <c r="C21"/>
  <c r="E21" s="1"/>
  <c r="C22"/>
  <c r="E22" s="1"/>
  <c r="C23"/>
  <c r="E23" s="1"/>
  <c r="C24"/>
  <c r="E24" s="1"/>
  <c r="C25"/>
  <c r="E25" s="1"/>
  <c r="C26"/>
  <c r="E26" s="1"/>
  <c r="C27"/>
  <c r="E27" s="1"/>
  <c r="C28"/>
  <c r="D28" s="1"/>
  <c r="C29"/>
  <c r="D29" s="1"/>
  <c r="C30"/>
  <c r="D30" s="1"/>
  <c r="C31"/>
  <c r="D31" s="1"/>
  <c r="C32"/>
  <c r="D32" s="1"/>
  <c r="C33"/>
  <c r="D33" s="1"/>
  <c r="C34"/>
  <c r="D34" s="1"/>
  <c r="C35"/>
  <c r="E35" s="1"/>
  <c r="C36"/>
  <c r="E36" s="1"/>
  <c r="C37"/>
  <c r="E37" s="1"/>
  <c r="C38"/>
  <c r="E38" s="1"/>
  <c r="C39"/>
  <c r="E39" s="1"/>
  <c r="C40"/>
  <c r="E40" s="1"/>
  <c r="C41"/>
  <c r="E41" s="1"/>
  <c r="C42"/>
  <c r="E42" s="1"/>
  <c r="C43"/>
  <c r="E43" s="1"/>
  <c r="C44"/>
  <c r="D44" s="1"/>
  <c r="C45"/>
  <c r="D45" s="1"/>
  <c r="C46"/>
  <c r="D46" s="1"/>
  <c r="C47"/>
  <c r="D47" s="1"/>
  <c r="C48"/>
  <c r="D48" s="1"/>
  <c r="C49"/>
  <c r="D49" s="1"/>
  <c r="C50"/>
  <c r="D50" s="1"/>
  <c r="C51"/>
  <c r="E51" s="1"/>
  <c r="C52"/>
  <c r="E52" s="1"/>
  <c r="C53"/>
  <c r="E53" s="1"/>
  <c r="C54"/>
  <c r="E54" s="1"/>
  <c r="C55"/>
  <c r="E55" s="1"/>
  <c r="C56"/>
  <c r="E56" s="1"/>
  <c r="C57"/>
  <c r="E57" s="1"/>
  <c r="C58"/>
  <c r="E58" s="1"/>
  <c r="C59"/>
  <c r="E59" s="1"/>
  <c r="C60"/>
  <c r="D60" s="1"/>
  <c r="C61"/>
  <c r="D61" s="1"/>
  <c r="C62"/>
  <c r="D62" s="1"/>
  <c r="C63"/>
  <c r="D63" s="1"/>
  <c r="C64"/>
  <c r="D64" s="1"/>
  <c r="C65"/>
  <c r="D65" s="1"/>
  <c r="C66"/>
  <c r="D66" s="1"/>
  <c r="C67"/>
  <c r="E67" s="1"/>
  <c r="C68"/>
  <c r="E68" s="1"/>
  <c r="C69"/>
  <c r="E69" s="1"/>
  <c r="C70"/>
  <c r="E70" s="1"/>
  <c r="C71"/>
  <c r="E71" s="1"/>
  <c r="C72"/>
  <c r="E72" s="1"/>
  <c r="C73"/>
  <c r="E73" s="1"/>
  <c r="C74"/>
  <c r="E74" s="1"/>
  <c r="C75"/>
  <c r="E75" s="1"/>
  <c r="C76"/>
  <c r="D76" s="1"/>
  <c r="C77"/>
  <c r="D77" s="1"/>
  <c r="C78"/>
  <c r="D78" s="1"/>
  <c r="C79"/>
  <c r="D79" s="1"/>
  <c r="C80"/>
  <c r="D80" s="1"/>
  <c r="C81"/>
  <c r="D81" s="1"/>
  <c r="C82"/>
  <c r="D82" s="1"/>
  <c r="C83"/>
  <c r="E83" s="1"/>
  <c r="C84"/>
  <c r="E84" s="1"/>
  <c r="C85"/>
  <c r="E85" s="1"/>
  <c r="C86"/>
  <c r="E86" s="1"/>
  <c r="C87"/>
  <c r="E87" s="1"/>
  <c r="C88"/>
  <c r="E88" s="1"/>
  <c r="C89"/>
  <c r="E89" s="1"/>
  <c r="C90"/>
  <c r="E90" s="1"/>
  <c r="C91"/>
  <c r="E91" s="1"/>
  <c r="C92"/>
  <c r="D92" s="1"/>
  <c r="C93"/>
  <c r="D93" s="1"/>
  <c r="C94"/>
  <c r="D94" s="1"/>
  <c r="C95"/>
  <c r="D95" s="1"/>
  <c r="C96"/>
  <c r="D96" s="1"/>
  <c r="C97"/>
  <c r="D97" s="1"/>
  <c r="C98"/>
  <c r="D98" s="1"/>
  <c r="C99"/>
  <c r="E99" s="1"/>
  <c r="C100"/>
  <c r="E100" s="1"/>
  <c r="C101"/>
  <c r="E101" s="1"/>
  <c r="C102"/>
  <c r="E102" s="1"/>
  <c r="C103"/>
  <c r="E103" s="1"/>
  <c r="C104"/>
  <c r="E104" s="1"/>
  <c r="C105"/>
  <c r="E105" s="1"/>
  <c r="C106"/>
  <c r="E106" s="1"/>
  <c r="C107"/>
  <c r="E107" s="1"/>
  <c r="C108"/>
  <c r="D108" s="1"/>
  <c r="C109"/>
  <c r="D109" s="1"/>
  <c r="C110"/>
  <c r="D110" s="1"/>
  <c r="C111"/>
  <c r="D111" s="1"/>
  <c r="C112"/>
  <c r="D112" s="1"/>
  <c r="C113"/>
  <c r="D113" s="1"/>
  <c r="C114"/>
  <c r="D114" s="1"/>
  <c r="C115"/>
  <c r="E115" s="1"/>
  <c r="C116"/>
  <c r="E116" s="1"/>
  <c r="C117"/>
  <c r="E117" s="1"/>
  <c r="C118"/>
  <c r="E118" s="1"/>
  <c r="C119"/>
  <c r="E119" s="1"/>
  <c r="C120"/>
  <c r="E120" s="1"/>
  <c r="C121"/>
  <c r="E121" s="1"/>
  <c r="C122"/>
  <c r="E122" s="1"/>
  <c r="C123"/>
  <c r="E123" s="1"/>
  <c r="C124"/>
  <c r="D124" s="1"/>
  <c r="C125"/>
  <c r="D125" s="1"/>
  <c r="C126"/>
  <c r="D126" s="1"/>
  <c r="C127"/>
  <c r="D127" s="1"/>
  <c r="C128"/>
  <c r="D128" s="1"/>
  <c r="C129"/>
  <c r="D129" s="1"/>
  <c r="C130"/>
  <c r="D130" s="1"/>
  <c r="C131"/>
  <c r="E131" s="1"/>
  <c r="C132"/>
  <c r="E132" s="1"/>
  <c r="C133"/>
  <c r="E133" s="1"/>
  <c r="C134"/>
  <c r="E134" s="1"/>
  <c r="C135"/>
  <c r="E135" s="1"/>
  <c r="C136"/>
  <c r="E136" s="1"/>
  <c r="C137"/>
  <c r="E137" s="1"/>
  <c r="C138"/>
  <c r="E138" s="1"/>
  <c r="C139"/>
  <c r="E139" s="1"/>
  <c r="C140"/>
  <c r="D140" s="1"/>
  <c r="C141"/>
  <c r="D141" s="1"/>
  <c r="C142"/>
  <c r="D142" s="1"/>
  <c r="C143"/>
  <c r="D143" s="1"/>
  <c r="C144"/>
  <c r="D144" s="1"/>
  <c r="C145"/>
  <c r="D145" s="1"/>
  <c r="C146"/>
  <c r="D146" s="1"/>
  <c r="C147"/>
  <c r="E147" s="1"/>
  <c r="C148"/>
  <c r="E148" s="1"/>
  <c r="C149"/>
  <c r="E149" s="1"/>
  <c r="C150"/>
  <c r="E150" s="1"/>
  <c r="C151"/>
  <c r="E151" s="1"/>
  <c r="C152"/>
  <c r="E152" s="1"/>
  <c r="C153"/>
  <c r="E153" s="1"/>
  <c r="C154"/>
  <c r="E154" s="1"/>
  <c r="C155"/>
  <c r="E155" s="1"/>
  <c r="C156"/>
  <c r="D156" s="1"/>
  <c r="C157"/>
  <c r="D157" s="1"/>
  <c r="C158"/>
  <c r="D158" s="1"/>
  <c r="C159"/>
  <c r="D159" s="1"/>
  <c r="C160"/>
  <c r="D160" s="1"/>
  <c r="C161"/>
  <c r="D161" s="1"/>
  <c r="C162"/>
  <c r="D162" s="1"/>
  <c r="C163"/>
  <c r="D163" s="1"/>
  <c r="C164"/>
  <c r="E164" s="1"/>
  <c r="C165"/>
  <c r="E165" s="1"/>
  <c r="C166"/>
  <c r="E166" s="1"/>
  <c r="C167"/>
  <c r="E167" s="1"/>
  <c r="C168"/>
  <c r="E168" s="1"/>
  <c r="C169"/>
  <c r="E169" s="1"/>
  <c r="C170"/>
  <c r="E170" s="1"/>
  <c r="C171"/>
  <c r="E171" s="1"/>
  <c r="C172"/>
  <c r="D172" s="1"/>
  <c r="C173"/>
  <c r="D173" s="1"/>
  <c r="C174"/>
  <c r="D174" s="1"/>
  <c r="C175"/>
  <c r="D175" s="1"/>
  <c r="C176"/>
  <c r="D176" s="1"/>
  <c r="C177"/>
  <c r="D177" s="1"/>
  <c r="C178"/>
  <c r="D178" s="1"/>
  <c r="C179"/>
  <c r="E179" s="1"/>
  <c r="C180"/>
  <c r="E180" s="1"/>
  <c r="C181"/>
  <c r="E181" s="1"/>
  <c r="C182"/>
  <c r="E182" s="1"/>
  <c r="C183"/>
  <c r="E183" s="1"/>
  <c r="C184"/>
  <c r="E184" s="1"/>
  <c r="C185"/>
  <c r="E185" s="1"/>
  <c r="C186"/>
  <c r="E186" s="1"/>
  <c r="C187"/>
  <c r="E187" s="1"/>
  <c r="C188"/>
  <c r="D188" s="1"/>
  <c r="C189"/>
  <c r="D189" s="1"/>
  <c r="C190"/>
  <c r="D190" s="1"/>
  <c r="C191"/>
  <c r="D191" s="1"/>
  <c r="C192"/>
  <c r="D192" s="1"/>
  <c r="C193"/>
  <c r="D193" s="1"/>
  <c r="C194"/>
  <c r="D194" s="1"/>
  <c r="C195"/>
  <c r="D195" s="1"/>
  <c r="C196"/>
  <c r="E196" s="1"/>
  <c r="C197"/>
  <c r="E197" s="1"/>
  <c r="C198"/>
  <c r="E198" s="1"/>
  <c r="C199"/>
  <c r="E199" s="1"/>
  <c r="C200"/>
  <c r="E200" s="1"/>
  <c r="C3"/>
  <c r="E3" s="1"/>
  <c r="C2"/>
  <c r="E2" s="1"/>
  <c r="G183" l="1"/>
  <c r="G184"/>
  <c r="G185"/>
  <c r="D42"/>
  <c r="D74"/>
  <c r="D138"/>
  <c r="G197"/>
  <c r="G120"/>
  <c r="D170"/>
  <c r="G121"/>
  <c r="G133"/>
  <c r="G5"/>
  <c r="G134"/>
  <c r="G6"/>
  <c r="G135"/>
  <c r="G8"/>
  <c r="G136"/>
  <c r="G21"/>
  <c r="G137"/>
  <c r="G56"/>
  <c r="G138"/>
  <c r="G69"/>
  <c r="G167"/>
  <c r="G70"/>
  <c r="G168"/>
  <c r="G71"/>
  <c r="G169"/>
  <c r="G72"/>
  <c r="D179"/>
  <c r="E163"/>
  <c r="D181"/>
  <c r="E195"/>
  <c r="D182"/>
  <c r="D150"/>
  <c r="D118"/>
  <c r="D86"/>
  <c r="D54"/>
  <c r="D22"/>
  <c r="D20"/>
  <c r="D183"/>
  <c r="D151"/>
  <c r="D119"/>
  <c r="D87"/>
  <c r="D55"/>
  <c r="D23"/>
  <c r="D51"/>
  <c r="D53"/>
  <c r="D184"/>
  <c r="D152"/>
  <c r="D120"/>
  <c r="D88"/>
  <c r="D56"/>
  <c r="D24"/>
  <c r="D180"/>
  <c r="D185"/>
  <c r="D153"/>
  <c r="D121"/>
  <c r="D89"/>
  <c r="D57"/>
  <c r="D25"/>
  <c r="D147"/>
  <c r="D84"/>
  <c r="D149"/>
  <c r="D186"/>
  <c r="D154"/>
  <c r="D122"/>
  <c r="D90"/>
  <c r="D58"/>
  <c r="D26"/>
  <c r="D115"/>
  <c r="D52"/>
  <c r="G198"/>
  <c r="G149"/>
  <c r="G101"/>
  <c r="G22"/>
  <c r="D131"/>
  <c r="D99"/>
  <c r="D67"/>
  <c r="D35"/>
  <c r="D83"/>
  <c r="G199"/>
  <c r="G150"/>
  <c r="G102"/>
  <c r="G24"/>
  <c r="D196"/>
  <c r="D164"/>
  <c r="D132"/>
  <c r="D100"/>
  <c r="D68"/>
  <c r="D36"/>
  <c r="D148"/>
  <c r="D117"/>
  <c r="G200"/>
  <c r="G151"/>
  <c r="G103"/>
  <c r="G37"/>
  <c r="D197"/>
  <c r="D165"/>
  <c r="D133"/>
  <c r="D101"/>
  <c r="D69"/>
  <c r="D37"/>
  <c r="G2"/>
  <c r="G152"/>
  <c r="G104"/>
  <c r="G38"/>
  <c r="D198"/>
  <c r="D166"/>
  <c r="D134"/>
  <c r="D102"/>
  <c r="D70"/>
  <c r="D38"/>
  <c r="D85"/>
  <c r="G153"/>
  <c r="G105"/>
  <c r="G40"/>
  <c r="D199"/>
  <c r="D167"/>
  <c r="D135"/>
  <c r="D103"/>
  <c r="D71"/>
  <c r="D39"/>
  <c r="D116"/>
  <c r="G165"/>
  <c r="G117"/>
  <c r="G53"/>
  <c r="D200"/>
  <c r="D168"/>
  <c r="D136"/>
  <c r="D104"/>
  <c r="D72"/>
  <c r="D40"/>
  <c r="D106"/>
  <c r="D21"/>
  <c r="G166"/>
  <c r="G118"/>
  <c r="G54"/>
  <c r="D2"/>
  <c r="D169"/>
  <c r="D137"/>
  <c r="D105"/>
  <c r="D73"/>
  <c r="D41"/>
  <c r="E188"/>
  <c r="E172"/>
  <c r="E156"/>
  <c r="E140"/>
  <c r="E124"/>
  <c r="E108"/>
  <c r="E92"/>
  <c r="E76"/>
  <c r="E60"/>
  <c r="E44"/>
  <c r="E28"/>
  <c r="E12"/>
  <c r="D19"/>
  <c r="E189"/>
  <c r="E173"/>
  <c r="E157"/>
  <c r="E141"/>
  <c r="E125"/>
  <c r="E109"/>
  <c r="E93"/>
  <c r="E77"/>
  <c r="E61"/>
  <c r="E45"/>
  <c r="E29"/>
  <c r="E13"/>
  <c r="D4"/>
  <c r="G55"/>
  <c r="G39"/>
  <c r="G23"/>
  <c r="G7"/>
  <c r="E190"/>
  <c r="E174"/>
  <c r="E158"/>
  <c r="E142"/>
  <c r="E126"/>
  <c r="E110"/>
  <c r="E94"/>
  <c r="E78"/>
  <c r="E62"/>
  <c r="E46"/>
  <c r="E30"/>
  <c r="E14"/>
  <c r="D5"/>
  <c r="E191"/>
  <c r="E175"/>
  <c r="E159"/>
  <c r="E143"/>
  <c r="E127"/>
  <c r="E111"/>
  <c r="E95"/>
  <c r="E79"/>
  <c r="E63"/>
  <c r="E47"/>
  <c r="E31"/>
  <c r="E15"/>
  <c r="D6"/>
  <c r="G89"/>
  <c r="G73"/>
  <c r="G57"/>
  <c r="G41"/>
  <c r="G25"/>
  <c r="G9"/>
  <c r="E192"/>
  <c r="E176"/>
  <c r="E160"/>
  <c r="E144"/>
  <c r="E128"/>
  <c r="E112"/>
  <c r="E96"/>
  <c r="E80"/>
  <c r="E64"/>
  <c r="E48"/>
  <c r="E32"/>
  <c r="E16"/>
  <c r="G170"/>
  <c r="G122"/>
  <c r="G106"/>
  <c r="G90"/>
  <c r="G74"/>
  <c r="G58"/>
  <c r="G42"/>
  <c r="G26"/>
  <c r="G10"/>
  <c r="E193"/>
  <c r="E177"/>
  <c r="E161"/>
  <c r="E145"/>
  <c r="E129"/>
  <c r="E113"/>
  <c r="E97"/>
  <c r="E81"/>
  <c r="E65"/>
  <c r="E49"/>
  <c r="E33"/>
  <c r="E17"/>
  <c r="D8"/>
  <c r="G187"/>
  <c r="G171"/>
  <c r="G155"/>
  <c r="G139"/>
  <c r="G123"/>
  <c r="G107"/>
  <c r="G91"/>
  <c r="G75"/>
  <c r="G59"/>
  <c r="G43"/>
  <c r="G27"/>
  <c r="G11"/>
  <c r="E194"/>
  <c r="E178"/>
  <c r="E162"/>
  <c r="E146"/>
  <c r="E130"/>
  <c r="E114"/>
  <c r="E98"/>
  <c r="E82"/>
  <c r="E66"/>
  <c r="E50"/>
  <c r="E34"/>
  <c r="E18"/>
  <c r="D9"/>
  <c r="G154"/>
  <c r="G172"/>
  <c r="G156"/>
  <c r="G140"/>
  <c r="G92"/>
  <c r="G28"/>
  <c r="D10"/>
  <c r="G189"/>
  <c r="G173"/>
  <c r="G157"/>
  <c r="G141"/>
  <c r="G125"/>
  <c r="G109"/>
  <c r="G93"/>
  <c r="G77"/>
  <c r="G61"/>
  <c r="G45"/>
  <c r="G29"/>
  <c r="G13"/>
  <c r="D187"/>
  <c r="D171"/>
  <c r="D155"/>
  <c r="D139"/>
  <c r="D123"/>
  <c r="D107"/>
  <c r="D91"/>
  <c r="D75"/>
  <c r="D59"/>
  <c r="D43"/>
  <c r="D27"/>
  <c r="D11"/>
  <c r="G186"/>
  <c r="G12"/>
  <c r="G190"/>
  <c r="G158"/>
  <c r="G78"/>
  <c r="G46"/>
  <c r="G30"/>
  <c r="G14"/>
  <c r="G188"/>
  <c r="G44"/>
  <c r="G142"/>
  <c r="G191"/>
  <c r="G175"/>
  <c r="G159"/>
  <c r="G143"/>
  <c r="G127"/>
  <c r="G111"/>
  <c r="G95"/>
  <c r="G79"/>
  <c r="G63"/>
  <c r="G47"/>
  <c r="G31"/>
  <c r="G15"/>
  <c r="G124"/>
  <c r="G94"/>
  <c r="G192"/>
  <c r="G176"/>
  <c r="G160"/>
  <c r="G144"/>
  <c r="G128"/>
  <c r="G112"/>
  <c r="G96"/>
  <c r="G80"/>
  <c r="G64"/>
  <c r="G48"/>
  <c r="G32"/>
  <c r="G16"/>
  <c r="G76"/>
  <c r="G110"/>
  <c r="G193"/>
  <c r="G177"/>
  <c r="G161"/>
  <c r="G145"/>
  <c r="G129"/>
  <c r="G113"/>
  <c r="G97"/>
  <c r="G81"/>
  <c r="G65"/>
  <c r="G49"/>
  <c r="G33"/>
  <c r="G17"/>
  <c r="G108"/>
  <c r="G62"/>
  <c r="G194"/>
  <c r="G178"/>
  <c r="G162"/>
  <c r="G146"/>
  <c r="G130"/>
  <c r="G114"/>
  <c r="G98"/>
  <c r="G82"/>
  <c r="G66"/>
  <c r="G50"/>
  <c r="G34"/>
  <c r="G18"/>
  <c r="G60"/>
  <c r="G174"/>
  <c r="G195"/>
  <c r="G179"/>
  <c r="G163"/>
  <c r="G147"/>
  <c r="G131"/>
  <c r="G115"/>
  <c r="G99"/>
  <c r="G83"/>
  <c r="G67"/>
  <c r="G51"/>
  <c r="G35"/>
  <c r="G19"/>
  <c r="G3"/>
  <c r="G126"/>
  <c r="G196"/>
  <c r="G180"/>
  <c r="G164"/>
  <c r="G148"/>
  <c r="G132"/>
  <c r="G116"/>
  <c r="G100"/>
  <c r="G84"/>
  <c r="G68"/>
  <c r="G52"/>
  <c r="G36"/>
  <c r="G20"/>
</calcChain>
</file>

<file path=xl/sharedStrings.xml><?xml version="1.0" encoding="utf-8"?>
<sst xmlns="http://schemas.openxmlformats.org/spreadsheetml/2006/main" count="18" uniqueCount="12">
  <si>
    <t>Date</t>
  </si>
  <si>
    <t>USD_MXN</t>
  </si>
  <si>
    <t>Vix</t>
  </si>
  <si>
    <t>change</t>
  </si>
  <si>
    <t>COV</t>
  </si>
  <si>
    <t>Min</t>
  </si>
  <si>
    <t>Max</t>
  </si>
  <si>
    <t>Avg</t>
  </si>
  <si>
    <t>STD</t>
  </si>
  <si>
    <t>%</t>
  </si>
  <si>
    <t>direction</t>
  </si>
  <si>
    <t>% of change</t>
  </si>
</sst>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/>
    <xf numFmtId="165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9.2543749101254263E-2"/>
          <c:y val="2.8665371574574158E-2"/>
          <c:w val="0.82670276488619199"/>
          <c:h val="0.80167751758347539"/>
        </c:manualLayout>
      </c:layout>
      <c:scatterChart>
        <c:scatterStyle val="smoothMarker"/>
        <c:ser>
          <c:idx val="0"/>
          <c:order val="0"/>
          <c:tx>
            <c:strRef>
              <c:f>Sheet1!$B$1</c:f>
              <c:strCache>
                <c:ptCount val="1"/>
                <c:pt idx="0">
                  <c:v>USD_MXN</c:v>
                </c:pt>
              </c:strCache>
            </c:strRef>
          </c:tx>
          <c:marker>
            <c:symbol val="none"/>
          </c:marker>
          <c:xVal>
            <c:numRef>
              <c:f>Sheet1!$A$2:$A$200</c:f>
              <c:numCache>
                <c:formatCode>yyyy\-mm\-dd\ hh:mm:ss</c:formatCode>
                <c:ptCount val="199"/>
                <c:pt idx="0">
                  <c:v>45033</c:v>
                </c:pt>
                <c:pt idx="1">
                  <c:v>45034</c:v>
                </c:pt>
                <c:pt idx="2">
                  <c:v>45035</c:v>
                </c:pt>
                <c:pt idx="3">
                  <c:v>45036</c:v>
                </c:pt>
                <c:pt idx="4">
                  <c:v>45040</c:v>
                </c:pt>
                <c:pt idx="5">
                  <c:v>45041</c:v>
                </c:pt>
                <c:pt idx="6">
                  <c:v>45042</c:v>
                </c:pt>
                <c:pt idx="7">
                  <c:v>45043</c:v>
                </c:pt>
                <c:pt idx="8">
                  <c:v>45047</c:v>
                </c:pt>
                <c:pt idx="9">
                  <c:v>45048</c:v>
                </c:pt>
                <c:pt idx="10">
                  <c:v>45049</c:v>
                </c:pt>
                <c:pt idx="11">
                  <c:v>45050</c:v>
                </c:pt>
                <c:pt idx="12">
                  <c:v>45054</c:v>
                </c:pt>
                <c:pt idx="13">
                  <c:v>45055</c:v>
                </c:pt>
                <c:pt idx="14">
                  <c:v>45056</c:v>
                </c:pt>
                <c:pt idx="15">
                  <c:v>45057</c:v>
                </c:pt>
                <c:pt idx="16">
                  <c:v>45061</c:v>
                </c:pt>
                <c:pt idx="17">
                  <c:v>45062</c:v>
                </c:pt>
                <c:pt idx="18">
                  <c:v>45063</c:v>
                </c:pt>
                <c:pt idx="19">
                  <c:v>45064</c:v>
                </c:pt>
                <c:pt idx="20">
                  <c:v>45068</c:v>
                </c:pt>
                <c:pt idx="21">
                  <c:v>45069</c:v>
                </c:pt>
                <c:pt idx="22">
                  <c:v>45070</c:v>
                </c:pt>
                <c:pt idx="23">
                  <c:v>45071</c:v>
                </c:pt>
                <c:pt idx="24">
                  <c:v>45076</c:v>
                </c:pt>
                <c:pt idx="25">
                  <c:v>45077</c:v>
                </c:pt>
                <c:pt idx="26">
                  <c:v>45078</c:v>
                </c:pt>
                <c:pt idx="27">
                  <c:v>45082</c:v>
                </c:pt>
                <c:pt idx="28">
                  <c:v>45083</c:v>
                </c:pt>
                <c:pt idx="29">
                  <c:v>45084</c:v>
                </c:pt>
                <c:pt idx="30">
                  <c:v>45085</c:v>
                </c:pt>
                <c:pt idx="31">
                  <c:v>45089</c:v>
                </c:pt>
                <c:pt idx="32">
                  <c:v>45090</c:v>
                </c:pt>
                <c:pt idx="33">
                  <c:v>45091</c:v>
                </c:pt>
                <c:pt idx="34">
                  <c:v>45092</c:v>
                </c:pt>
                <c:pt idx="35">
                  <c:v>45097</c:v>
                </c:pt>
                <c:pt idx="36">
                  <c:v>45098</c:v>
                </c:pt>
                <c:pt idx="37">
                  <c:v>45099</c:v>
                </c:pt>
                <c:pt idx="38">
                  <c:v>45102</c:v>
                </c:pt>
                <c:pt idx="39">
                  <c:v>45103</c:v>
                </c:pt>
                <c:pt idx="40">
                  <c:v>45104</c:v>
                </c:pt>
                <c:pt idx="41">
                  <c:v>45105</c:v>
                </c:pt>
                <c:pt idx="42">
                  <c:v>45106</c:v>
                </c:pt>
                <c:pt idx="43">
                  <c:v>45110</c:v>
                </c:pt>
                <c:pt idx="44">
                  <c:v>45112</c:v>
                </c:pt>
                <c:pt idx="45">
                  <c:v>45113</c:v>
                </c:pt>
                <c:pt idx="46">
                  <c:v>45117</c:v>
                </c:pt>
                <c:pt idx="47">
                  <c:v>45118</c:v>
                </c:pt>
                <c:pt idx="48">
                  <c:v>45119</c:v>
                </c:pt>
                <c:pt idx="49">
                  <c:v>45120</c:v>
                </c:pt>
                <c:pt idx="50">
                  <c:v>45124</c:v>
                </c:pt>
                <c:pt idx="51">
                  <c:v>45125</c:v>
                </c:pt>
                <c:pt idx="52">
                  <c:v>45126</c:v>
                </c:pt>
                <c:pt idx="53">
                  <c:v>45127</c:v>
                </c:pt>
                <c:pt idx="54">
                  <c:v>45131</c:v>
                </c:pt>
                <c:pt idx="55">
                  <c:v>45132</c:v>
                </c:pt>
                <c:pt idx="56">
                  <c:v>45133</c:v>
                </c:pt>
                <c:pt idx="57">
                  <c:v>45134</c:v>
                </c:pt>
                <c:pt idx="58">
                  <c:v>45138</c:v>
                </c:pt>
                <c:pt idx="59">
                  <c:v>45139</c:v>
                </c:pt>
                <c:pt idx="60">
                  <c:v>45140</c:v>
                </c:pt>
                <c:pt idx="61">
                  <c:v>45141</c:v>
                </c:pt>
                <c:pt idx="62">
                  <c:v>45145</c:v>
                </c:pt>
                <c:pt idx="63">
                  <c:v>45146</c:v>
                </c:pt>
                <c:pt idx="64">
                  <c:v>45147</c:v>
                </c:pt>
                <c:pt idx="65">
                  <c:v>45148</c:v>
                </c:pt>
                <c:pt idx="66">
                  <c:v>45152</c:v>
                </c:pt>
                <c:pt idx="67">
                  <c:v>45153</c:v>
                </c:pt>
                <c:pt idx="68">
                  <c:v>45154</c:v>
                </c:pt>
                <c:pt idx="69">
                  <c:v>45155</c:v>
                </c:pt>
                <c:pt idx="70">
                  <c:v>45159</c:v>
                </c:pt>
                <c:pt idx="71">
                  <c:v>45160</c:v>
                </c:pt>
                <c:pt idx="72">
                  <c:v>45161</c:v>
                </c:pt>
                <c:pt idx="73">
                  <c:v>45162</c:v>
                </c:pt>
                <c:pt idx="74">
                  <c:v>45166</c:v>
                </c:pt>
                <c:pt idx="75">
                  <c:v>45167</c:v>
                </c:pt>
                <c:pt idx="76">
                  <c:v>45168</c:v>
                </c:pt>
                <c:pt idx="77">
                  <c:v>45169</c:v>
                </c:pt>
                <c:pt idx="78">
                  <c:v>45174</c:v>
                </c:pt>
                <c:pt idx="79">
                  <c:v>45175</c:v>
                </c:pt>
                <c:pt idx="80">
                  <c:v>45176</c:v>
                </c:pt>
                <c:pt idx="81">
                  <c:v>45180</c:v>
                </c:pt>
                <c:pt idx="82">
                  <c:v>45181</c:v>
                </c:pt>
                <c:pt idx="83">
                  <c:v>45182</c:v>
                </c:pt>
                <c:pt idx="84">
                  <c:v>45183</c:v>
                </c:pt>
                <c:pt idx="85">
                  <c:v>45187</c:v>
                </c:pt>
                <c:pt idx="86">
                  <c:v>45188</c:v>
                </c:pt>
                <c:pt idx="87">
                  <c:v>45189</c:v>
                </c:pt>
                <c:pt idx="88">
                  <c:v>45190</c:v>
                </c:pt>
                <c:pt idx="89">
                  <c:v>45194</c:v>
                </c:pt>
                <c:pt idx="90">
                  <c:v>45195</c:v>
                </c:pt>
                <c:pt idx="91">
                  <c:v>45196</c:v>
                </c:pt>
                <c:pt idx="92">
                  <c:v>45197</c:v>
                </c:pt>
                <c:pt idx="93">
                  <c:v>45201</c:v>
                </c:pt>
                <c:pt idx="94">
                  <c:v>45202</c:v>
                </c:pt>
                <c:pt idx="95">
                  <c:v>45203</c:v>
                </c:pt>
                <c:pt idx="96">
                  <c:v>45204</c:v>
                </c:pt>
                <c:pt idx="97">
                  <c:v>45208</c:v>
                </c:pt>
                <c:pt idx="98">
                  <c:v>45209</c:v>
                </c:pt>
                <c:pt idx="99">
                  <c:v>45210</c:v>
                </c:pt>
                <c:pt idx="100">
                  <c:v>45211</c:v>
                </c:pt>
                <c:pt idx="101">
                  <c:v>45215</c:v>
                </c:pt>
                <c:pt idx="102">
                  <c:v>45216</c:v>
                </c:pt>
                <c:pt idx="103">
                  <c:v>45217</c:v>
                </c:pt>
                <c:pt idx="104">
                  <c:v>45218</c:v>
                </c:pt>
                <c:pt idx="105">
                  <c:v>45222</c:v>
                </c:pt>
                <c:pt idx="106">
                  <c:v>45223</c:v>
                </c:pt>
                <c:pt idx="107">
                  <c:v>45224</c:v>
                </c:pt>
                <c:pt idx="108">
                  <c:v>45225</c:v>
                </c:pt>
                <c:pt idx="109">
                  <c:v>45229</c:v>
                </c:pt>
                <c:pt idx="110">
                  <c:v>45230</c:v>
                </c:pt>
                <c:pt idx="111">
                  <c:v>45231</c:v>
                </c:pt>
                <c:pt idx="112">
                  <c:v>45232</c:v>
                </c:pt>
                <c:pt idx="113">
                  <c:v>45236</c:v>
                </c:pt>
                <c:pt idx="114">
                  <c:v>45237</c:v>
                </c:pt>
                <c:pt idx="115">
                  <c:v>45238</c:v>
                </c:pt>
                <c:pt idx="116">
                  <c:v>45239</c:v>
                </c:pt>
                <c:pt idx="117">
                  <c:v>45243</c:v>
                </c:pt>
                <c:pt idx="118">
                  <c:v>45244</c:v>
                </c:pt>
                <c:pt idx="119">
                  <c:v>45245</c:v>
                </c:pt>
                <c:pt idx="120">
                  <c:v>45246</c:v>
                </c:pt>
                <c:pt idx="121">
                  <c:v>45250</c:v>
                </c:pt>
                <c:pt idx="122">
                  <c:v>45251</c:v>
                </c:pt>
                <c:pt idx="123">
                  <c:v>45252</c:v>
                </c:pt>
                <c:pt idx="124">
                  <c:v>45257</c:v>
                </c:pt>
                <c:pt idx="125">
                  <c:v>45258</c:v>
                </c:pt>
                <c:pt idx="126">
                  <c:v>45259</c:v>
                </c:pt>
                <c:pt idx="127">
                  <c:v>45260</c:v>
                </c:pt>
                <c:pt idx="128">
                  <c:v>45264</c:v>
                </c:pt>
                <c:pt idx="129">
                  <c:v>45265</c:v>
                </c:pt>
                <c:pt idx="130">
                  <c:v>45266</c:v>
                </c:pt>
                <c:pt idx="131">
                  <c:v>45267</c:v>
                </c:pt>
                <c:pt idx="132">
                  <c:v>45271</c:v>
                </c:pt>
                <c:pt idx="133">
                  <c:v>45272</c:v>
                </c:pt>
                <c:pt idx="134">
                  <c:v>45273</c:v>
                </c:pt>
                <c:pt idx="135">
                  <c:v>45274</c:v>
                </c:pt>
                <c:pt idx="136">
                  <c:v>45278</c:v>
                </c:pt>
                <c:pt idx="137">
                  <c:v>45279</c:v>
                </c:pt>
                <c:pt idx="138">
                  <c:v>45280</c:v>
                </c:pt>
                <c:pt idx="139">
                  <c:v>45281</c:v>
                </c:pt>
                <c:pt idx="140">
                  <c:v>45286</c:v>
                </c:pt>
                <c:pt idx="141">
                  <c:v>45287</c:v>
                </c:pt>
                <c:pt idx="142">
                  <c:v>45288</c:v>
                </c:pt>
                <c:pt idx="143">
                  <c:v>45293</c:v>
                </c:pt>
                <c:pt idx="144">
                  <c:v>45294</c:v>
                </c:pt>
                <c:pt idx="145">
                  <c:v>45295</c:v>
                </c:pt>
                <c:pt idx="146">
                  <c:v>45299</c:v>
                </c:pt>
                <c:pt idx="147">
                  <c:v>45300</c:v>
                </c:pt>
                <c:pt idx="148">
                  <c:v>45301</c:v>
                </c:pt>
                <c:pt idx="149">
                  <c:v>45302</c:v>
                </c:pt>
                <c:pt idx="150">
                  <c:v>45307</c:v>
                </c:pt>
                <c:pt idx="151">
                  <c:v>45308</c:v>
                </c:pt>
                <c:pt idx="152">
                  <c:v>45309</c:v>
                </c:pt>
                <c:pt idx="153">
                  <c:v>45313</c:v>
                </c:pt>
                <c:pt idx="154">
                  <c:v>45314</c:v>
                </c:pt>
                <c:pt idx="155">
                  <c:v>45315</c:v>
                </c:pt>
                <c:pt idx="156">
                  <c:v>45316</c:v>
                </c:pt>
                <c:pt idx="157">
                  <c:v>45320</c:v>
                </c:pt>
                <c:pt idx="158">
                  <c:v>45321</c:v>
                </c:pt>
                <c:pt idx="159">
                  <c:v>45322</c:v>
                </c:pt>
                <c:pt idx="160">
                  <c:v>45323</c:v>
                </c:pt>
                <c:pt idx="161">
                  <c:v>45327</c:v>
                </c:pt>
                <c:pt idx="162">
                  <c:v>45328</c:v>
                </c:pt>
                <c:pt idx="163">
                  <c:v>45329</c:v>
                </c:pt>
                <c:pt idx="164">
                  <c:v>45330</c:v>
                </c:pt>
                <c:pt idx="165">
                  <c:v>45334</c:v>
                </c:pt>
                <c:pt idx="166">
                  <c:v>45335</c:v>
                </c:pt>
                <c:pt idx="167">
                  <c:v>45336</c:v>
                </c:pt>
                <c:pt idx="168">
                  <c:v>45337</c:v>
                </c:pt>
                <c:pt idx="169">
                  <c:v>45342</c:v>
                </c:pt>
                <c:pt idx="170">
                  <c:v>45343</c:v>
                </c:pt>
                <c:pt idx="171">
                  <c:v>45344</c:v>
                </c:pt>
                <c:pt idx="172">
                  <c:v>45348</c:v>
                </c:pt>
                <c:pt idx="173">
                  <c:v>45349</c:v>
                </c:pt>
                <c:pt idx="174">
                  <c:v>45350</c:v>
                </c:pt>
                <c:pt idx="175">
                  <c:v>45351</c:v>
                </c:pt>
                <c:pt idx="176">
                  <c:v>45355</c:v>
                </c:pt>
                <c:pt idx="177">
                  <c:v>45356</c:v>
                </c:pt>
                <c:pt idx="178">
                  <c:v>45357</c:v>
                </c:pt>
                <c:pt idx="179">
                  <c:v>45358</c:v>
                </c:pt>
                <c:pt idx="180">
                  <c:v>45362</c:v>
                </c:pt>
                <c:pt idx="181">
                  <c:v>45363</c:v>
                </c:pt>
                <c:pt idx="182">
                  <c:v>45364</c:v>
                </c:pt>
                <c:pt idx="183">
                  <c:v>45365</c:v>
                </c:pt>
                <c:pt idx="184">
                  <c:v>45369</c:v>
                </c:pt>
                <c:pt idx="185">
                  <c:v>45370</c:v>
                </c:pt>
                <c:pt idx="186">
                  <c:v>45371</c:v>
                </c:pt>
                <c:pt idx="187">
                  <c:v>45372</c:v>
                </c:pt>
                <c:pt idx="188">
                  <c:v>45376</c:v>
                </c:pt>
                <c:pt idx="189">
                  <c:v>45377</c:v>
                </c:pt>
                <c:pt idx="190">
                  <c:v>45378</c:v>
                </c:pt>
                <c:pt idx="191">
                  <c:v>45379</c:v>
                </c:pt>
                <c:pt idx="192">
                  <c:v>45384</c:v>
                </c:pt>
                <c:pt idx="193">
                  <c:v>45385</c:v>
                </c:pt>
                <c:pt idx="194">
                  <c:v>45386</c:v>
                </c:pt>
                <c:pt idx="195">
                  <c:v>45390</c:v>
                </c:pt>
                <c:pt idx="196">
                  <c:v>45391</c:v>
                </c:pt>
                <c:pt idx="197">
                  <c:v>45392</c:v>
                </c:pt>
                <c:pt idx="198">
                  <c:v>45393</c:v>
                </c:pt>
              </c:numCache>
            </c:numRef>
          </c:xVal>
          <c:yVal>
            <c:numRef>
              <c:f>Sheet1!$B$2:$B$200</c:f>
              <c:numCache>
                <c:formatCode>General</c:formatCode>
                <c:ptCount val="199"/>
                <c:pt idx="0">
                  <c:v>18.05125</c:v>
                </c:pt>
                <c:pt idx="1">
                  <c:v>18.045649999999998</c:v>
                </c:pt>
                <c:pt idx="2">
                  <c:v>18.000599999999999</c:v>
                </c:pt>
                <c:pt idx="3">
                  <c:v>17.995660000000001</c:v>
                </c:pt>
                <c:pt idx="4">
                  <c:v>18.07375</c:v>
                </c:pt>
                <c:pt idx="5">
                  <c:v>18.152049999999999</c:v>
                </c:pt>
                <c:pt idx="6">
                  <c:v>18.033149999999999</c:v>
                </c:pt>
                <c:pt idx="7">
                  <c:v>17.997900000000001</c:v>
                </c:pt>
                <c:pt idx="8">
                  <c:v>17.979849999999999</c:v>
                </c:pt>
                <c:pt idx="9">
                  <c:v>17.930599999999998</c:v>
                </c:pt>
                <c:pt idx="10">
                  <c:v>17.907</c:v>
                </c:pt>
                <c:pt idx="11">
                  <c:v>17.753450000000001</c:v>
                </c:pt>
                <c:pt idx="12">
                  <c:v>17.773350000000001</c:v>
                </c:pt>
                <c:pt idx="13">
                  <c:v>17.551400000000001</c:v>
                </c:pt>
                <c:pt idx="14">
                  <c:v>17.5793</c:v>
                </c:pt>
                <c:pt idx="15">
                  <c:v>17.601949999999999</c:v>
                </c:pt>
                <c:pt idx="16">
                  <c:v>17.50675</c:v>
                </c:pt>
                <c:pt idx="17">
                  <c:v>17.5991</c:v>
                </c:pt>
                <c:pt idx="18">
                  <c:v>17.719349999999999</c:v>
                </c:pt>
                <c:pt idx="19">
                  <c:v>17.7849</c:v>
                </c:pt>
                <c:pt idx="20">
                  <c:v>17.974969999999999</c:v>
                </c:pt>
                <c:pt idx="21">
                  <c:v>17.800999999999998</c:v>
                </c:pt>
                <c:pt idx="22">
                  <c:v>17.854800000000001</c:v>
                </c:pt>
                <c:pt idx="23">
                  <c:v>17.623950000000001</c:v>
                </c:pt>
                <c:pt idx="24">
                  <c:v>17.6813</c:v>
                </c:pt>
                <c:pt idx="25">
                  <c:v>17.551600000000001</c:v>
                </c:pt>
                <c:pt idx="26">
                  <c:v>17.56035</c:v>
                </c:pt>
                <c:pt idx="27">
                  <c:v>17.385300000000001</c:v>
                </c:pt>
                <c:pt idx="28">
                  <c:v>17.3597</c:v>
                </c:pt>
                <c:pt idx="29">
                  <c:v>17.378</c:v>
                </c:pt>
                <c:pt idx="30">
                  <c:v>17.286449999999999</c:v>
                </c:pt>
                <c:pt idx="31">
                  <c:v>17.222999999999999</c:v>
                </c:pt>
                <c:pt idx="32">
                  <c:v>17.105499999999999</c:v>
                </c:pt>
                <c:pt idx="33">
                  <c:v>17.119900000000001</c:v>
                </c:pt>
                <c:pt idx="34">
                  <c:v>17.0733</c:v>
                </c:pt>
                <c:pt idx="35">
                  <c:v>17.11645</c:v>
                </c:pt>
                <c:pt idx="36">
                  <c:v>17.189599999999999</c:v>
                </c:pt>
                <c:pt idx="37">
                  <c:v>17.186900000000001</c:v>
                </c:pt>
                <c:pt idx="38">
                  <c:v>17.13635</c:v>
                </c:pt>
                <c:pt idx="39">
                  <c:v>17.085699999999999</c:v>
                </c:pt>
                <c:pt idx="40">
                  <c:v>17.0946</c:v>
                </c:pt>
                <c:pt idx="41">
                  <c:v>17.124099999999999</c:v>
                </c:pt>
                <c:pt idx="42">
                  <c:v>17.121590000000001</c:v>
                </c:pt>
                <c:pt idx="43">
                  <c:v>17.0534</c:v>
                </c:pt>
                <c:pt idx="44">
                  <c:v>17.240349999999999</c:v>
                </c:pt>
                <c:pt idx="45">
                  <c:v>17.14594</c:v>
                </c:pt>
                <c:pt idx="46">
                  <c:v>17.04505</c:v>
                </c:pt>
                <c:pt idx="47">
                  <c:v>16.896750000000001</c:v>
                </c:pt>
                <c:pt idx="48">
                  <c:v>16.839500000000001</c:v>
                </c:pt>
                <c:pt idx="49">
                  <c:v>16.750050000000002</c:v>
                </c:pt>
                <c:pt idx="50">
                  <c:v>16.751149999999999</c:v>
                </c:pt>
                <c:pt idx="51">
                  <c:v>16.71245</c:v>
                </c:pt>
                <c:pt idx="52">
                  <c:v>16.8796</c:v>
                </c:pt>
                <c:pt idx="53">
                  <c:v>16.988350000000001</c:v>
                </c:pt>
                <c:pt idx="54">
                  <c:v>16.932749999999999</c:v>
                </c:pt>
                <c:pt idx="55">
                  <c:v>16.8429</c:v>
                </c:pt>
                <c:pt idx="56">
                  <c:v>16.877099999999999</c:v>
                </c:pt>
                <c:pt idx="57">
                  <c:v>16.690100000000001</c:v>
                </c:pt>
                <c:pt idx="58">
                  <c:v>16.881150000000002</c:v>
                </c:pt>
                <c:pt idx="59">
                  <c:v>17.016449999999999</c:v>
                </c:pt>
                <c:pt idx="60">
                  <c:v>17.3523</c:v>
                </c:pt>
                <c:pt idx="61">
                  <c:v>17.078299999999999</c:v>
                </c:pt>
                <c:pt idx="62">
                  <c:v>17.118449999999999</c:v>
                </c:pt>
                <c:pt idx="63">
                  <c:v>17.0578</c:v>
                </c:pt>
                <c:pt idx="64">
                  <c:v>17.1309</c:v>
                </c:pt>
                <c:pt idx="65">
                  <c:v>17.003350000000001</c:v>
                </c:pt>
                <c:pt idx="66">
                  <c:v>17.149550000000001</c:v>
                </c:pt>
                <c:pt idx="67">
                  <c:v>17.143699999999999</c:v>
                </c:pt>
                <c:pt idx="68">
                  <c:v>17.10765</c:v>
                </c:pt>
                <c:pt idx="69">
                  <c:v>17.058700000000002</c:v>
                </c:pt>
                <c:pt idx="70">
                  <c:v>16.908149999999999</c:v>
                </c:pt>
                <c:pt idx="71">
                  <c:v>16.7943</c:v>
                </c:pt>
                <c:pt idx="72">
                  <c:v>16.836449999999999</c:v>
                </c:pt>
                <c:pt idx="73">
                  <c:v>16.752800000000001</c:v>
                </c:pt>
                <c:pt idx="74">
                  <c:v>16.796050000000001</c:v>
                </c:pt>
                <c:pt idx="75">
                  <c:v>16.744150000000001</c:v>
                </c:pt>
                <c:pt idx="76">
                  <c:v>17.044550000000001</c:v>
                </c:pt>
                <c:pt idx="77">
                  <c:v>17.095199999999998</c:v>
                </c:pt>
                <c:pt idx="78">
                  <c:v>17.582000000000001</c:v>
                </c:pt>
                <c:pt idx="79">
                  <c:v>17.6096</c:v>
                </c:pt>
                <c:pt idx="80">
                  <c:v>17.595079999999999</c:v>
                </c:pt>
                <c:pt idx="81">
                  <c:v>17.225449999999999</c:v>
                </c:pt>
                <c:pt idx="82">
                  <c:v>17.152999999999999</c:v>
                </c:pt>
                <c:pt idx="83">
                  <c:v>17.112500000000001</c:v>
                </c:pt>
                <c:pt idx="84">
                  <c:v>17.083749999999998</c:v>
                </c:pt>
                <c:pt idx="85">
                  <c:v>17.084250000000001</c:v>
                </c:pt>
                <c:pt idx="86">
                  <c:v>17.094449999999998</c:v>
                </c:pt>
                <c:pt idx="87">
                  <c:v>17.235299999999999</c:v>
                </c:pt>
                <c:pt idx="88">
                  <c:v>17.21855</c:v>
                </c:pt>
                <c:pt idx="89">
                  <c:v>17.548400000000001</c:v>
                </c:pt>
                <c:pt idx="90">
                  <c:v>17.669750000000001</c:v>
                </c:pt>
                <c:pt idx="91">
                  <c:v>17.540299999999998</c:v>
                </c:pt>
                <c:pt idx="92">
                  <c:v>17.418299999999999</c:v>
                </c:pt>
                <c:pt idx="93">
                  <c:v>18.072399999999998</c:v>
                </c:pt>
                <c:pt idx="94">
                  <c:v>17.955480000000001</c:v>
                </c:pt>
                <c:pt idx="95">
                  <c:v>18.26005</c:v>
                </c:pt>
                <c:pt idx="96">
                  <c:v>18.1784</c:v>
                </c:pt>
                <c:pt idx="97">
                  <c:v>17.9376</c:v>
                </c:pt>
                <c:pt idx="98">
                  <c:v>17.8322</c:v>
                </c:pt>
                <c:pt idx="99">
                  <c:v>17.984359999999999</c:v>
                </c:pt>
                <c:pt idx="100">
                  <c:v>18.090859999999999</c:v>
                </c:pt>
                <c:pt idx="101">
                  <c:v>18.017600000000002</c:v>
                </c:pt>
                <c:pt idx="102">
                  <c:v>18.249649999999999</c:v>
                </c:pt>
                <c:pt idx="103">
                  <c:v>18.325800000000001</c:v>
                </c:pt>
                <c:pt idx="104">
                  <c:v>18.23725</c:v>
                </c:pt>
                <c:pt idx="105">
                  <c:v>18.25695</c:v>
                </c:pt>
                <c:pt idx="106">
                  <c:v>18.32835</c:v>
                </c:pt>
                <c:pt idx="107">
                  <c:v>18.1539</c:v>
                </c:pt>
                <c:pt idx="108">
                  <c:v>18.117750000000001</c:v>
                </c:pt>
                <c:pt idx="109">
                  <c:v>18.064350000000001</c:v>
                </c:pt>
                <c:pt idx="110">
                  <c:v>17.777100000000001</c:v>
                </c:pt>
                <c:pt idx="111">
                  <c:v>17.512219999999999</c:v>
                </c:pt>
                <c:pt idx="112">
                  <c:v>17.460419999999999</c:v>
                </c:pt>
                <c:pt idx="113">
                  <c:v>17.476849999999999</c:v>
                </c:pt>
                <c:pt idx="114">
                  <c:v>17.536200000000001</c:v>
                </c:pt>
                <c:pt idx="115">
                  <c:v>17.821000000000002</c:v>
                </c:pt>
                <c:pt idx="116">
                  <c:v>17.645800000000001</c:v>
                </c:pt>
                <c:pt idx="117">
                  <c:v>17.339500000000001</c:v>
                </c:pt>
                <c:pt idx="118">
                  <c:v>17.297249999999998</c:v>
                </c:pt>
                <c:pt idx="119">
                  <c:v>17.22775</c:v>
                </c:pt>
                <c:pt idx="120">
                  <c:v>17.229050000000001</c:v>
                </c:pt>
                <c:pt idx="121">
                  <c:v>17.196950000000001</c:v>
                </c:pt>
                <c:pt idx="122">
                  <c:v>17.19445</c:v>
                </c:pt>
                <c:pt idx="123">
                  <c:v>17.1861</c:v>
                </c:pt>
                <c:pt idx="124">
                  <c:v>17.140550000000001</c:v>
                </c:pt>
                <c:pt idx="125">
                  <c:v>17.283550000000002</c:v>
                </c:pt>
                <c:pt idx="126">
                  <c:v>17.3902</c:v>
                </c:pt>
                <c:pt idx="127">
                  <c:v>17.18655</c:v>
                </c:pt>
                <c:pt idx="128">
                  <c:v>17.378499999999999</c:v>
                </c:pt>
                <c:pt idx="129">
                  <c:v>17.277200000000001</c:v>
                </c:pt>
                <c:pt idx="130">
                  <c:v>17.4757</c:v>
                </c:pt>
                <c:pt idx="131">
                  <c:v>17.34675</c:v>
                </c:pt>
                <c:pt idx="132">
                  <c:v>17.3062</c:v>
                </c:pt>
                <c:pt idx="133">
                  <c:v>17.235050000000001</c:v>
                </c:pt>
                <c:pt idx="134">
                  <c:v>17.196100000000001</c:v>
                </c:pt>
                <c:pt idx="135">
                  <c:v>17.20665</c:v>
                </c:pt>
                <c:pt idx="136">
                  <c:v>17.070699999999999</c:v>
                </c:pt>
                <c:pt idx="137">
                  <c:v>17.145350000000001</c:v>
                </c:pt>
                <c:pt idx="138">
                  <c:v>17.023250000000001</c:v>
                </c:pt>
                <c:pt idx="139">
                  <c:v>16.978249999999999</c:v>
                </c:pt>
                <c:pt idx="140">
                  <c:v>16.919799999999999</c:v>
                </c:pt>
                <c:pt idx="141">
                  <c:v>16.962299999999999</c:v>
                </c:pt>
                <c:pt idx="142">
                  <c:v>16.973500000000001</c:v>
                </c:pt>
                <c:pt idx="143">
                  <c:v>17.016300000000001</c:v>
                </c:pt>
                <c:pt idx="144">
                  <c:v>17.014500000000002</c:v>
                </c:pt>
                <c:pt idx="145">
                  <c:v>16.883700000000001</c:v>
                </c:pt>
                <c:pt idx="146">
                  <c:v>16.96866</c:v>
                </c:pt>
                <c:pt idx="147">
                  <c:v>16.973500000000001</c:v>
                </c:pt>
                <c:pt idx="148">
                  <c:v>16.915500000000002</c:v>
                </c:pt>
                <c:pt idx="149">
                  <c:v>16.864550000000001</c:v>
                </c:pt>
                <c:pt idx="150">
                  <c:v>17.196149999999999</c:v>
                </c:pt>
                <c:pt idx="151">
                  <c:v>17.16675</c:v>
                </c:pt>
                <c:pt idx="152">
                  <c:v>17.081150000000001</c:v>
                </c:pt>
                <c:pt idx="153">
                  <c:v>17.302299999999999</c:v>
                </c:pt>
                <c:pt idx="154">
                  <c:v>17.227599999999999</c:v>
                </c:pt>
                <c:pt idx="155">
                  <c:v>17.19725</c:v>
                </c:pt>
                <c:pt idx="156">
                  <c:v>17.158200000000001</c:v>
                </c:pt>
                <c:pt idx="157">
                  <c:v>17.151599999999998</c:v>
                </c:pt>
                <c:pt idx="158">
                  <c:v>17.216750000000001</c:v>
                </c:pt>
                <c:pt idx="159">
                  <c:v>17.080500000000001</c:v>
                </c:pt>
                <c:pt idx="160">
                  <c:v>17.1448</c:v>
                </c:pt>
                <c:pt idx="161">
                  <c:v>17.039950000000001</c:v>
                </c:pt>
                <c:pt idx="162">
                  <c:v>17.047599999999999</c:v>
                </c:pt>
                <c:pt idx="163">
                  <c:v>17.145800000000001</c:v>
                </c:pt>
                <c:pt idx="164">
                  <c:v>17.088650000000001</c:v>
                </c:pt>
                <c:pt idx="165">
                  <c:v>17.198049999999999</c:v>
                </c:pt>
                <c:pt idx="166">
                  <c:v>17.083100000000002</c:v>
                </c:pt>
                <c:pt idx="167">
                  <c:v>17.041599999999999</c:v>
                </c:pt>
                <c:pt idx="168">
                  <c:v>17.055399999999999</c:v>
                </c:pt>
                <c:pt idx="169">
                  <c:v>17.0426</c:v>
                </c:pt>
                <c:pt idx="170">
                  <c:v>17.1084</c:v>
                </c:pt>
                <c:pt idx="171">
                  <c:v>17.121300000000002</c:v>
                </c:pt>
                <c:pt idx="172">
                  <c:v>17.0623</c:v>
                </c:pt>
                <c:pt idx="173">
                  <c:v>17.093800000000002</c:v>
                </c:pt>
                <c:pt idx="174">
                  <c:v>17.054849999999998</c:v>
                </c:pt>
                <c:pt idx="175">
                  <c:v>17.011849999999999</c:v>
                </c:pt>
                <c:pt idx="176">
                  <c:v>16.947099999999999</c:v>
                </c:pt>
                <c:pt idx="177">
                  <c:v>16.877700000000001</c:v>
                </c:pt>
                <c:pt idx="178">
                  <c:v>16.87565</c:v>
                </c:pt>
                <c:pt idx="179">
                  <c:v>16.810600000000001</c:v>
                </c:pt>
                <c:pt idx="180">
                  <c:v>16.79815</c:v>
                </c:pt>
                <c:pt idx="181">
                  <c:v>16.661349999999999</c:v>
                </c:pt>
                <c:pt idx="182">
                  <c:v>16.700849999999999</c:v>
                </c:pt>
                <c:pt idx="183">
                  <c:v>16.717099999999999</c:v>
                </c:pt>
                <c:pt idx="184">
                  <c:v>16.807300000000001</c:v>
                </c:pt>
                <c:pt idx="185">
                  <c:v>16.681249999999999</c:v>
                </c:pt>
                <c:pt idx="186">
                  <c:v>16.739999999999998</c:v>
                </c:pt>
                <c:pt idx="187">
                  <c:v>16.761500000000002</c:v>
                </c:pt>
                <c:pt idx="188">
                  <c:v>16.643650000000001</c:v>
                </c:pt>
                <c:pt idx="189">
                  <c:v>16.543099999999999</c:v>
                </c:pt>
                <c:pt idx="190">
                  <c:v>16.627700000000001</c:v>
                </c:pt>
                <c:pt idx="191">
                  <c:v>16.56465</c:v>
                </c:pt>
                <c:pt idx="192">
                  <c:v>16.540800000000001</c:v>
                </c:pt>
                <c:pt idx="193">
                  <c:v>16.590499999999999</c:v>
                </c:pt>
                <c:pt idx="194">
                  <c:v>16.453749999999999</c:v>
                </c:pt>
                <c:pt idx="195">
                  <c:v>16.387450000000001</c:v>
                </c:pt>
                <c:pt idx="196">
                  <c:v>16.442799999999998</c:v>
                </c:pt>
                <c:pt idx="197">
                  <c:v>16.4406</c:v>
                </c:pt>
                <c:pt idx="198">
                  <c:v>16.64395</c:v>
                </c:pt>
              </c:numCache>
            </c:numRef>
          </c:yVal>
          <c:smooth val="1"/>
        </c:ser>
        <c:axId val="160242304"/>
        <c:axId val="165643008"/>
      </c:scatterChart>
      <c:scatterChart>
        <c:scatterStyle val="smoothMarker"/>
        <c:ser>
          <c:idx val="1"/>
          <c:order val="1"/>
          <c:tx>
            <c:strRef>
              <c:f>Sheet1!$F$1</c:f>
              <c:strCache>
                <c:ptCount val="1"/>
                <c:pt idx="0">
                  <c:v>Vix</c:v>
                </c:pt>
              </c:strCache>
            </c:strRef>
          </c:tx>
          <c:marker>
            <c:symbol val="none"/>
          </c:marker>
          <c:xVal>
            <c:numRef>
              <c:f>Sheet1!$A$2:$A$200</c:f>
              <c:numCache>
                <c:formatCode>yyyy\-mm\-dd\ hh:mm:ss</c:formatCode>
                <c:ptCount val="199"/>
                <c:pt idx="0">
                  <c:v>45033</c:v>
                </c:pt>
                <c:pt idx="1">
                  <c:v>45034</c:v>
                </c:pt>
                <c:pt idx="2">
                  <c:v>45035</c:v>
                </c:pt>
                <c:pt idx="3">
                  <c:v>45036</c:v>
                </c:pt>
                <c:pt idx="4">
                  <c:v>45040</c:v>
                </c:pt>
                <c:pt idx="5">
                  <c:v>45041</c:v>
                </c:pt>
                <c:pt idx="6">
                  <c:v>45042</c:v>
                </c:pt>
                <c:pt idx="7">
                  <c:v>45043</c:v>
                </c:pt>
                <c:pt idx="8">
                  <c:v>45047</c:v>
                </c:pt>
                <c:pt idx="9">
                  <c:v>45048</c:v>
                </c:pt>
                <c:pt idx="10">
                  <c:v>45049</c:v>
                </c:pt>
                <c:pt idx="11">
                  <c:v>45050</c:v>
                </c:pt>
                <c:pt idx="12">
                  <c:v>45054</c:v>
                </c:pt>
                <c:pt idx="13">
                  <c:v>45055</c:v>
                </c:pt>
                <c:pt idx="14">
                  <c:v>45056</c:v>
                </c:pt>
                <c:pt idx="15">
                  <c:v>45057</c:v>
                </c:pt>
                <c:pt idx="16">
                  <c:v>45061</c:v>
                </c:pt>
                <c:pt idx="17">
                  <c:v>45062</c:v>
                </c:pt>
                <c:pt idx="18">
                  <c:v>45063</c:v>
                </c:pt>
                <c:pt idx="19">
                  <c:v>45064</c:v>
                </c:pt>
                <c:pt idx="20">
                  <c:v>45068</c:v>
                </c:pt>
                <c:pt idx="21">
                  <c:v>45069</c:v>
                </c:pt>
                <c:pt idx="22">
                  <c:v>45070</c:v>
                </c:pt>
                <c:pt idx="23">
                  <c:v>45071</c:v>
                </c:pt>
                <c:pt idx="24">
                  <c:v>45076</c:v>
                </c:pt>
                <c:pt idx="25">
                  <c:v>45077</c:v>
                </c:pt>
                <c:pt idx="26">
                  <c:v>45078</c:v>
                </c:pt>
                <c:pt idx="27">
                  <c:v>45082</c:v>
                </c:pt>
                <c:pt idx="28">
                  <c:v>45083</c:v>
                </c:pt>
                <c:pt idx="29">
                  <c:v>45084</c:v>
                </c:pt>
                <c:pt idx="30">
                  <c:v>45085</c:v>
                </c:pt>
                <c:pt idx="31">
                  <c:v>45089</c:v>
                </c:pt>
                <c:pt idx="32">
                  <c:v>45090</c:v>
                </c:pt>
                <c:pt idx="33">
                  <c:v>45091</c:v>
                </c:pt>
                <c:pt idx="34">
                  <c:v>45092</c:v>
                </c:pt>
                <c:pt idx="35">
                  <c:v>45097</c:v>
                </c:pt>
                <c:pt idx="36">
                  <c:v>45098</c:v>
                </c:pt>
                <c:pt idx="37">
                  <c:v>45099</c:v>
                </c:pt>
                <c:pt idx="38">
                  <c:v>45102</c:v>
                </c:pt>
                <c:pt idx="39">
                  <c:v>45103</c:v>
                </c:pt>
                <c:pt idx="40">
                  <c:v>45104</c:v>
                </c:pt>
                <c:pt idx="41">
                  <c:v>45105</c:v>
                </c:pt>
                <c:pt idx="42">
                  <c:v>45106</c:v>
                </c:pt>
                <c:pt idx="43">
                  <c:v>45110</c:v>
                </c:pt>
                <c:pt idx="44">
                  <c:v>45112</c:v>
                </c:pt>
                <c:pt idx="45">
                  <c:v>45113</c:v>
                </c:pt>
                <c:pt idx="46">
                  <c:v>45117</c:v>
                </c:pt>
                <c:pt idx="47">
                  <c:v>45118</c:v>
                </c:pt>
                <c:pt idx="48">
                  <c:v>45119</c:v>
                </c:pt>
                <c:pt idx="49">
                  <c:v>45120</c:v>
                </c:pt>
                <c:pt idx="50">
                  <c:v>45124</c:v>
                </c:pt>
                <c:pt idx="51">
                  <c:v>45125</c:v>
                </c:pt>
                <c:pt idx="52">
                  <c:v>45126</c:v>
                </c:pt>
                <c:pt idx="53">
                  <c:v>45127</c:v>
                </c:pt>
                <c:pt idx="54">
                  <c:v>45131</c:v>
                </c:pt>
                <c:pt idx="55">
                  <c:v>45132</c:v>
                </c:pt>
                <c:pt idx="56">
                  <c:v>45133</c:v>
                </c:pt>
                <c:pt idx="57">
                  <c:v>45134</c:v>
                </c:pt>
                <c:pt idx="58">
                  <c:v>45138</c:v>
                </c:pt>
                <c:pt idx="59">
                  <c:v>45139</c:v>
                </c:pt>
                <c:pt idx="60">
                  <c:v>45140</c:v>
                </c:pt>
                <c:pt idx="61">
                  <c:v>45141</c:v>
                </c:pt>
                <c:pt idx="62">
                  <c:v>45145</c:v>
                </c:pt>
                <c:pt idx="63">
                  <c:v>45146</c:v>
                </c:pt>
                <c:pt idx="64">
                  <c:v>45147</c:v>
                </c:pt>
                <c:pt idx="65">
                  <c:v>45148</c:v>
                </c:pt>
                <c:pt idx="66">
                  <c:v>45152</c:v>
                </c:pt>
                <c:pt idx="67">
                  <c:v>45153</c:v>
                </c:pt>
                <c:pt idx="68">
                  <c:v>45154</c:v>
                </c:pt>
                <c:pt idx="69">
                  <c:v>45155</c:v>
                </c:pt>
                <c:pt idx="70">
                  <c:v>45159</c:v>
                </c:pt>
                <c:pt idx="71">
                  <c:v>45160</c:v>
                </c:pt>
                <c:pt idx="72">
                  <c:v>45161</c:v>
                </c:pt>
                <c:pt idx="73">
                  <c:v>45162</c:v>
                </c:pt>
                <c:pt idx="74">
                  <c:v>45166</c:v>
                </c:pt>
                <c:pt idx="75">
                  <c:v>45167</c:v>
                </c:pt>
                <c:pt idx="76">
                  <c:v>45168</c:v>
                </c:pt>
                <c:pt idx="77">
                  <c:v>45169</c:v>
                </c:pt>
                <c:pt idx="78">
                  <c:v>45174</c:v>
                </c:pt>
                <c:pt idx="79">
                  <c:v>45175</c:v>
                </c:pt>
                <c:pt idx="80">
                  <c:v>45176</c:v>
                </c:pt>
                <c:pt idx="81">
                  <c:v>45180</c:v>
                </c:pt>
                <c:pt idx="82">
                  <c:v>45181</c:v>
                </c:pt>
                <c:pt idx="83">
                  <c:v>45182</c:v>
                </c:pt>
                <c:pt idx="84">
                  <c:v>45183</c:v>
                </c:pt>
                <c:pt idx="85">
                  <c:v>45187</c:v>
                </c:pt>
                <c:pt idx="86">
                  <c:v>45188</c:v>
                </c:pt>
                <c:pt idx="87">
                  <c:v>45189</c:v>
                </c:pt>
                <c:pt idx="88">
                  <c:v>45190</c:v>
                </c:pt>
                <c:pt idx="89">
                  <c:v>45194</c:v>
                </c:pt>
                <c:pt idx="90">
                  <c:v>45195</c:v>
                </c:pt>
                <c:pt idx="91">
                  <c:v>45196</c:v>
                </c:pt>
                <c:pt idx="92">
                  <c:v>45197</c:v>
                </c:pt>
                <c:pt idx="93">
                  <c:v>45201</c:v>
                </c:pt>
                <c:pt idx="94">
                  <c:v>45202</c:v>
                </c:pt>
                <c:pt idx="95">
                  <c:v>45203</c:v>
                </c:pt>
                <c:pt idx="96">
                  <c:v>45204</c:v>
                </c:pt>
                <c:pt idx="97">
                  <c:v>45208</c:v>
                </c:pt>
                <c:pt idx="98">
                  <c:v>45209</c:v>
                </c:pt>
                <c:pt idx="99">
                  <c:v>45210</c:v>
                </c:pt>
                <c:pt idx="100">
                  <c:v>45211</c:v>
                </c:pt>
                <c:pt idx="101">
                  <c:v>45215</c:v>
                </c:pt>
                <c:pt idx="102">
                  <c:v>45216</c:v>
                </c:pt>
                <c:pt idx="103">
                  <c:v>45217</c:v>
                </c:pt>
                <c:pt idx="104">
                  <c:v>45218</c:v>
                </c:pt>
                <c:pt idx="105">
                  <c:v>45222</c:v>
                </c:pt>
                <c:pt idx="106">
                  <c:v>45223</c:v>
                </c:pt>
                <c:pt idx="107">
                  <c:v>45224</c:v>
                </c:pt>
                <c:pt idx="108">
                  <c:v>45225</c:v>
                </c:pt>
                <c:pt idx="109">
                  <c:v>45229</c:v>
                </c:pt>
                <c:pt idx="110">
                  <c:v>45230</c:v>
                </c:pt>
                <c:pt idx="111">
                  <c:v>45231</c:v>
                </c:pt>
                <c:pt idx="112">
                  <c:v>45232</c:v>
                </c:pt>
                <c:pt idx="113">
                  <c:v>45236</c:v>
                </c:pt>
                <c:pt idx="114">
                  <c:v>45237</c:v>
                </c:pt>
                <c:pt idx="115">
                  <c:v>45238</c:v>
                </c:pt>
                <c:pt idx="116">
                  <c:v>45239</c:v>
                </c:pt>
                <c:pt idx="117">
                  <c:v>45243</c:v>
                </c:pt>
                <c:pt idx="118">
                  <c:v>45244</c:v>
                </c:pt>
                <c:pt idx="119">
                  <c:v>45245</c:v>
                </c:pt>
                <c:pt idx="120">
                  <c:v>45246</c:v>
                </c:pt>
                <c:pt idx="121">
                  <c:v>45250</c:v>
                </c:pt>
                <c:pt idx="122">
                  <c:v>45251</c:v>
                </c:pt>
                <c:pt idx="123">
                  <c:v>45252</c:v>
                </c:pt>
                <c:pt idx="124">
                  <c:v>45257</c:v>
                </c:pt>
                <c:pt idx="125">
                  <c:v>45258</c:v>
                </c:pt>
                <c:pt idx="126">
                  <c:v>45259</c:v>
                </c:pt>
                <c:pt idx="127">
                  <c:v>45260</c:v>
                </c:pt>
                <c:pt idx="128">
                  <c:v>45264</c:v>
                </c:pt>
                <c:pt idx="129">
                  <c:v>45265</c:v>
                </c:pt>
                <c:pt idx="130">
                  <c:v>45266</c:v>
                </c:pt>
                <c:pt idx="131">
                  <c:v>45267</c:v>
                </c:pt>
                <c:pt idx="132">
                  <c:v>45271</c:v>
                </c:pt>
                <c:pt idx="133">
                  <c:v>45272</c:v>
                </c:pt>
                <c:pt idx="134">
                  <c:v>45273</c:v>
                </c:pt>
                <c:pt idx="135">
                  <c:v>45274</c:v>
                </c:pt>
                <c:pt idx="136">
                  <c:v>45278</c:v>
                </c:pt>
                <c:pt idx="137">
                  <c:v>45279</c:v>
                </c:pt>
                <c:pt idx="138">
                  <c:v>45280</c:v>
                </c:pt>
                <c:pt idx="139">
                  <c:v>45281</c:v>
                </c:pt>
                <c:pt idx="140">
                  <c:v>45286</c:v>
                </c:pt>
                <c:pt idx="141">
                  <c:v>45287</c:v>
                </c:pt>
                <c:pt idx="142">
                  <c:v>45288</c:v>
                </c:pt>
                <c:pt idx="143">
                  <c:v>45293</c:v>
                </c:pt>
                <c:pt idx="144">
                  <c:v>45294</c:v>
                </c:pt>
                <c:pt idx="145">
                  <c:v>45295</c:v>
                </c:pt>
                <c:pt idx="146">
                  <c:v>45299</c:v>
                </c:pt>
                <c:pt idx="147">
                  <c:v>45300</c:v>
                </c:pt>
                <c:pt idx="148">
                  <c:v>45301</c:v>
                </c:pt>
                <c:pt idx="149">
                  <c:v>45302</c:v>
                </c:pt>
                <c:pt idx="150">
                  <c:v>45307</c:v>
                </c:pt>
                <c:pt idx="151">
                  <c:v>45308</c:v>
                </c:pt>
                <c:pt idx="152">
                  <c:v>45309</c:v>
                </c:pt>
                <c:pt idx="153">
                  <c:v>45313</c:v>
                </c:pt>
                <c:pt idx="154">
                  <c:v>45314</c:v>
                </c:pt>
                <c:pt idx="155">
                  <c:v>45315</c:v>
                </c:pt>
                <c:pt idx="156">
                  <c:v>45316</c:v>
                </c:pt>
                <c:pt idx="157">
                  <c:v>45320</c:v>
                </c:pt>
                <c:pt idx="158">
                  <c:v>45321</c:v>
                </c:pt>
                <c:pt idx="159">
                  <c:v>45322</c:v>
                </c:pt>
                <c:pt idx="160">
                  <c:v>45323</c:v>
                </c:pt>
                <c:pt idx="161">
                  <c:v>45327</c:v>
                </c:pt>
                <c:pt idx="162">
                  <c:v>45328</c:v>
                </c:pt>
                <c:pt idx="163">
                  <c:v>45329</c:v>
                </c:pt>
                <c:pt idx="164">
                  <c:v>45330</c:v>
                </c:pt>
                <c:pt idx="165">
                  <c:v>45334</c:v>
                </c:pt>
                <c:pt idx="166">
                  <c:v>45335</c:v>
                </c:pt>
                <c:pt idx="167">
                  <c:v>45336</c:v>
                </c:pt>
                <c:pt idx="168">
                  <c:v>45337</c:v>
                </c:pt>
                <c:pt idx="169">
                  <c:v>45342</c:v>
                </c:pt>
                <c:pt idx="170">
                  <c:v>45343</c:v>
                </c:pt>
                <c:pt idx="171">
                  <c:v>45344</c:v>
                </c:pt>
                <c:pt idx="172">
                  <c:v>45348</c:v>
                </c:pt>
                <c:pt idx="173">
                  <c:v>45349</c:v>
                </c:pt>
                <c:pt idx="174">
                  <c:v>45350</c:v>
                </c:pt>
                <c:pt idx="175">
                  <c:v>45351</c:v>
                </c:pt>
                <c:pt idx="176">
                  <c:v>45355</c:v>
                </c:pt>
                <c:pt idx="177">
                  <c:v>45356</c:v>
                </c:pt>
                <c:pt idx="178">
                  <c:v>45357</c:v>
                </c:pt>
                <c:pt idx="179">
                  <c:v>45358</c:v>
                </c:pt>
                <c:pt idx="180">
                  <c:v>45362</c:v>
                </c:pt>
                <c:pt idx="181">
                  <c:v>45363</c:v>
                </c:pt>
                <c:pt idx="182">
                  <c:v>45364</c:v>
                </c:pt>
                <c:pt idx="183">
                  <c:v>45365</c:v>
                </c:pt>
                <c:pt idx="184">
                  <c:v>45369</c:v>
                </c:pt>
                <c:pt idx="185">
                  <c:v>45370</c:v>
                </c:pt>
                <c:pt idx="186">
                  <c:v>45371</c:v>
                </c:pt>
                <c:pt idx="187">
                  <c:v>45372</c:v>
                </c:pt>
                <c:pt idx="188">
                  <c:v>45376</c:v>
                </c:pt>
                <c:pt idx="189">
                  <c:v>45377</c:v>
                </c:pt>
                <c:pt idx="190">
                  <c:v>45378</c:v>
                </c:pt>
                <c:pt idx="191">
                  <c:v>45379</c:v>
                </c:pt>
                <c:pt idx="192">
                  <c:v>45384</c:v>
                </c:pt>
                <c:pt idx="193">
                  <c:v>45385</c:v>
                </c:pt>
                <c:pt idx="194">
                  <c:v>45386</c:v>
                </c:pt>
                <c:pt idx="195">
                  <c:v>45390</c:v>
                </c:pt>
                <c:pt idx="196">
                  <c:v>45391</c:v>
                </c:pt>
                <c:pt idx="197">
                  <c:v>45392</c:v>
                </c:pt>
                <c:pt idx="198">
                  <c:v>45393</c:v>
                </c:pt>
              </c:numCache>
            </c:numRef>
          </c:xVal>
          <c:yVal>
            <c:numRef>
              <c:f>Sheet1!$F$2:$F$200</c:f>
              <c:numCache>
                <c:formatCode>0</c:formatCode>
                <c:ptCount val="199"/>
                <c:pt idx="0">
                  <c:v>16.95000076293945</c:v>
                </c:pt>
                <c:pt idx="1">
                  <c:v>16.829999923706051</c:v>
                </c:pt>
                <c:pt idx="2">
                  <c:v>16.45999908447266</c:v>
                </c:pt>
                <c:pt idx="3">
                  <c:v>17.170000076293949</c:v>
                </c:pt>
                <c:pt idx="4">
                  <c:v>16.889999389648441</c:v>
                </c:pt>
                <c:pt idx="5">
                  <c:v>18.760000228881839</c:v>
                </c:pt>
                <c:pt idx="6">
                  <c:v>18.840000152587891</c:v>
                </c:pt>
                <c:pt idx="7">
                  <c:v>17.030000686645511</c:v>
                </c:pt>
                <c:pt idx="8">
                  <c:v>16.079999923706051</c:v>
                </c:pt>
                <c:pt idx="9">
                  <c:v>17.780000686645511</c:v>
                </c:pt>
                <c:pt idx="10">
                  <c:v>18.340000152587891</c:v>
                </c:pt>
                <c:pt idx="11">
                  <c:v>20.090000152587891</c:v>
                </c:pt>
                <c:pt idx="12">
                  <c:v>16.979999542236332</c:v>
                </c:pt>
                <c:pt idx="13">
                  <c:v>17.70999908447266</c:v>
                </c:pt>
                <c:pt idx="14">
                  <c:v>16.940000534057621</c:v>
                </c:pt>
                <c:pt idx="15">
                  <c:v>16.930000305175781</c:v>
                </c:pt>
                <c:pt idx="16">
                  <c:v>17.120000839233398</c:v>
                </c:pt>
                <c:pt idx="17">
                  <c:v>17.989999771118161</c:v>
                </c:pt>
                <c:pt idx="18">
                  <c:v>16.870000839233398</c:v>
                </c:pt>
                <c:pt idx="19">
                  <c:v>16.04999923706055</c:v>
                </c:pt>
                <c:pt idx="20">
                  <c:v>17.20999908447266</c:v>
                </c:pt>
                <c:pt idx="21">
                  <c:v>18.530000686645511</c:v>
                </c:pt>
                <c:pt idx="22">
                  <c:v>20.030000686645511</c:v>
                </c:pt>
                <c:pt idx="23">
                  <c:v>19.139999389648441</c:v>
                </c:pt>
                <c:pt idx="24">
                  <c:v>17.45999908447266</c:v>
                </c:pt>
                <c:pt idx="25">
                  <c:v>17.940000534057621</c:v>
                </c:pt>
                <c:pt idx="26">
                  <c:v>15.64999961853027</c:v>
                </c:pt>
                <c:pt idx="27">
                  <c:v>14.72999954223633</c:v>
                </c:pt>
                <c:pt idx="28">
                  <c:v>13.960000038146971</c:v>
                </c:pt>
                <c:pt idx="29">
                  <c:v>13.939999580383301</c:v>
                </c:pt>
                <c:pt idx="30">
                  <c:v>13.64999961853027</c:v>
                </c:pt>
                <c:pt idx="31">
                  <c:v>15.010000228881839</c:v>
                </c:pt>
                <c:pt idx="32">
                  <c:v>14.60999965667725</c:v>
                </c:pt>
                <c:pt idx="33">
                  <c:v>13.88000011444092</c:v>
                </c:pt>
                <c:pt idx="34">
                  <c:v>14.5</c:v>
                </c:pt>
                <c:pt idx="35">
                  <c:v>13.88000011444092</c:v>
                </c:pt>
                <c:pt idx="36">
                  <c:v>13.19999980926514</c:v>
                </c:pt>
                <c:pt idx="37">
                  <c:v>12.909999847412109</c:v>
                </c:pt>
                <c:pt idx="38">
                  <c:v>13.439999580383301</c:v>
                </c:pt>
                <c:pt idx="39">
                  <c:v>14.25</c:v>
                </c:pt>
                <c:pt idx="40">
                  <c:v>13.739999771118161</c:v>
                </c:pt>
                <c:pt idx="41">
                  <c:v>13.430000305175779</c:v>
                </c:pt>
                <c:pt idx="42">
                  <c:v>13.539999961853029</c:v>
                </c:pt>
                <c:pt idx="43">
                  <c:v>13.569999694824221</c:v>
                </c:pt>
                <c:pt idx="44">
                  <c:v>14.180000305175779</c:v>
                </c:pt>
                <c:pt idx="45">
                  <c:v>15.439999580383301</c:v>
                </c:pt>
                <c:pt idx="46">
                  <c:v>15.069999694824221</c:v>
                </c:pt>
                <c:pt idx="47">
                  <c:v>14.840000152587891</c:v>
                </c:pt>
                <c:pt idx="48">
                  <c:v>13.539999961853029</c:v>
                </c:pt>
                <c:pt idx="49">
                  <c:v>13.60999965667725</c:v>
                </c:pt>
                <c:pt idx="50">
                  <c:v>13.47999954223633</c:v>
                </c:pt>
                <c:pt idx="51">
                  <c:v>13.30000019073486</c:v>
                </c:pt>
                <c:pt idx="52">
                  <c:v>13.760000228881839</c:v>
                </c:pt>
                <c:pt idx="53">
                  <c:v>13.989999771118161</c:v>
                </c:pt>
                <c:pt idx="54">
                  <c:v>13.909999847412109</c:v>
                </c:pt>
                <c:pt idx="55">
                  <c:v>13.85999965667725</c:v>
                </c:pt>
                <c:pt idx="56">
                  <c:v>13.189999580383301</c:v>
                </c:pt>
                <c:pt idx="57">
                  <c:v>14.409999847412109</c:v>
                </c:pt>
                <c:pt idx="58">
                  <c:v>13.63000011444092</c:v>
                </c:pt>
                <c:pt idx="59">
                  <c:v>13.930000305175779</c:v>
                </c:pt>
                <c:pt idx="60">
                  <c:v>16.090000152587891</c:v>
                </c:pt>
                <c:pt idx="61">
                  <c:v>15.920000076293951</c:v>
                </c:pt>
                <c:pt idx="62">
                  <c:v>15.77000045776367</c:v>
                </c:pt>
                <c:pt idx="63">
                  <c:v>15.989999771118161</c:v>
                </c:pt>
                <c:pt idx="64">
                  <c:v>15.960000038146971</c:v>
                </c:pt>
                <c:pt idx="65">
                  <c:v>15.85000038146973</c:v>
                </c:pt>
                <c:pt idx="66">
                  <c:v>14.819999694824221</c:v>
                </c:pt>
                <c:pt idx="67">
                  <c:v>16.45999908447266</c:v>
                </c:pt>
                <c:pt idx="68">
                  <c:v>16.780000686645511</c:v>
                </c:pt>
                <c:pt idx="69">
                  <c:v>17.889999389648441</c:v>
                </c:pt>
                <c:pt idx="70">
                  <c:v>17.129999160766602</c:v>
                </c:pt>
                <c:pt idx="71">
                  <c:v>16.969999313354489</c:v>
                </c:pt>
                <c:pt idx="72">
                  <c:v>15.97999954223633</c:v>
                </c:pt>
                <c:pt idx="73">
                  <c:v>17.20000076293945</c:v>
                </c:pt>
                <c:pt idx="74">
                  <c:v>15.079999923706049</c:v>
                </c:pt>
                <c:pt idx="75">
                  <c:v>14.44999980926514</c:v>
                </c:pt>
                <c:pt idx="76">
                  <c:v>13.88000011444092</c:v>
                </c:pt>
                <c:pt idx="77">
                  <c:v>13.569999694824221</c:v>
                </c:pt>
                <c:pt idx="78">
                  <c:v>14.010000228881839</c:v>
                </c:pt>
                <c:pt idx="79">
                  <c:v>14.44999980926514</c:v>
                </c:pt>
                <c:pt idx="80">
                  <c:v>14.39999961853027</c:v>
                </c:pt>
                <c:pt idx="81">
                  <c:v>13.80000019073486</c:v>
                </c:pt>
                <c:pt idx="82">
                  <c:v>14.22999954223633</c:v>
                </c:pt>
                <c:pt idx="83">
                  <c:v>13.47999954223633</c:v>
                </c:pt>
                <c:pt idx="84">
                  <c:v>12.819999694824221</c:v>
                </c:pt>
                <c:pt idx="85">
                  <c:v>14</c:v>
                </c:pt>
                <c:pt idx="86">
                  <c:v>14.10999965667725</c:v>
                </c:pt>
                <c:pt idx="87">
                  <c:v>15.14000034332275</c:v>
                </c:pt>
                <c:pt idx="88">
                  <c:v>17.54000091552734</c:v>
                </c:pt>
                <c:pt idx="89">
                  <c:v>16.89999961853027</c:v>
                </c:pt>
                <c:pt idx="90">
                  <c:v>18.940000534057621</c:v>
                </c:pt>
                <c:pt idx="91">
                  <c:v>18.219999313354489</c:v>
                </c:pt>
                <c:pt idx="92">
                  <c:v>17.340000152587891</c:v>
                </c:pt>
                <c:pt idx="93">
                  <c:v>17.610000610351559</c:v>
                </c:pt>
                <c:pt idx="94">
                  <c:v>19.780000686645511</c:v>
                </c:pt>
                <c:pt idx="95">
                  <c:v>18.579999923706051</c:v>
                </c:pt>
                <c:pt idx="96">
                  <c:v>18.489999771118161</c:v>
                </c:pt>
                <c:pt idx="97">
                  <c:v>17.70000076293945</c:v>
                </c:pt>
                <c:pt idx="98">
                  <c:v>17.030000686645511</c:v>
                </c:pt>
                <c:pt idx="99">
                  <c:v>16.090000152587891</c:v>
                </c:pt>
                <c:pt idx="100">
                  <c:v>16.690000534057621</c:v>
                </c:pt>
                <c:pt idx="101">
                  <c:v>17.20999908447266</c:v>
                </c:pt>
                <c:pt idx="102">
                  <c:v>17.879999160766602</c:v>
                </c:pt>
                <c:pt idx="103">
                  <c:v>19.219999313354489</c:v>
                </c:pt>
                <c:pt idx="104">
                  <c:v>21.39999961853027</c:v>
                </c:pt>
                <c:pt idx="105">
                  <c:v>20.370000839233398</c:v>
                </c:pt>
                <c:pt idx="106">
                  <c:v>18.969999313354489</c:v>
                </c:pt>
                <c:pt idx="107">
                  <c:v>20.190000534057621</c:v>
                </c:pt>
                <c:pt idx="108">
                  <c:v>20.680000305175781</c:v>
                </c:pt>
                <c:pt idx="109">
                  <c:v>19.75</c:v>
                </c:pt>
                <c:pt idx="110">
                  <c:v>18.139999389648441</c:v>
                </c:pt>
                <c:pt idx="111">
                  <c:v>16.870000839233398</c:v>
                </c:pt>
                <c:pt idx="112">
                  <c:v>15.659999847412109</c:v>
                </c:pt>
                <c:pt idx="113">
                  <c:v>14.89000034332275</c:v>
                </c:pt>
                <c:pt idx="114">
                  <c:v>14.810000419616699</c:v>
                </c:pt>
                <c:pt idx="115">
                  <c:v>14.44999980926514</c:v>
                </c:pt>
                <c:pt idx="116">
                  <c:v>15.289999961853029</c:v>
                </c:pt>
                <c:pt idx="117">
                  <c:v>14.760000228881839</c:v>
                </c:pt>
                <c:pt idx="118">
                  <c:v>14.159999847412109</c:v>
                </c:pt>
                <c:pt idx="119">
                  <c:v>14.180000305175779</c:v>
                </c:pt>
                <c:pt idx="120">
                  <c:v>14.319999694824221</c:v>
                </c:pt>
                <c:pt idx="121">
                  <c:v>13.409999847412109</c:v>
                </c:pt>
                <c:pt idx="122">
                  <c:v>13.35000038146973</c:v>
                </c:pt>
                <c:pt idx="123">
                  <c:v>12.85000038146973</c:v>
                </c:pt>
                <c:pt idx="124">
                  <c:v>12.689999580383301</c:v>
                </c:pt>
                <c:pt idx="125">
                  <c:v>12.689999580383301</c:v>
                </c:pt>
                <c:pt idx="126">
                  <c:v>12.97999954223633</c:v>
                </c:pt>
                <c:pt idx="127">
                  <c:v>12.920000076293951</c:v>
                </c:pt>
                <c:pt idx="128">
                  <c:v>13.079999923706049</c:v>
                </c:pt>
                <c:pt idx="129">
                  <c:v>12.85000038146973</c:v>
                </c:pt>
                <c:pt idx="130">
                  <c:v>12.97000026702881</c:v>
                </c:pt>
                <c:pt idx="131">
                  <c:v>13.060000419616699</c:v>
                </c:pt>
                <c:pt idx="132">
                  <c:v>12.63000011444092</c:v>
                </c:pt>
                <c:pt idx="133">
                  <c:v>12.069999694824221</c:v>
                </c:pt>
                <c:pt idx="134">
                  <c:v>12.189999580383301</c:v>
                </c:pt>
                <c:pt idx="135">
                  <c:v>12.47999954223633</c:v>
                </c:pt>
                <c:pt idx="136">
                  <c:v>12.560000419616699</c:v>
                </c:pt>
                <c:pt idx="137">
                  <c:v>12.52999973297119</c:v>
                </c:pt>
                <c:pt idx="138">
                  <c:v>13.670000076293951</c:v>
                </c:pt>
                <c:pt idx="139">
                  <c:v>13.64999961853027</c:v>
                </c:pt>
                <c:pt idx="140">
                  <c:v>12.989999771118161</c:v>
                </c:pt>
                <c:pt idx="141">
                  <c:v>12.430000305175779</c:v>
                </c:pt>
                <c:pt idx="142">
                  <c:v>12.47000026702881</c:v>
                </c:pt>
                <c:pt idx="143">
                  <c:v>13.19999980926514</c:v>
                </c:pt>
                <c:pt idx="144">
                  <c:v>14.039999961853029</c:v>
                </c:pt>
                <c:pt idx="145">
                  <c:v>14.13000011444092</c:v>
                </c:pt>
                <c:pt idx="146">
                  <c:v>13.079999923706049</c:v>
                </c:pt>
                <c:pt idx="147">
                  <c:v>12.760000228881839</c:v>
                </c:pt>
                <c:pt idx="148">
                  <c:v>12.689999580383301</c:v>
                </c:pt>
                <c:pt idx="149">
                  <c:v>12.439999580383301</c:v>
                </c:pt>
                <c:pt idx="150">
                  <c:v>13.840000152587891</c:v>
                </c:pt>
                <c:pt idx="151">
                  <c:v>14.789999961853029</c:v>
                </c:pt>
                <c:pt idx="152">
                  <c:v>14.13000011444092</c:v>
                </c:pt>
                <c:pt idx="153">
                  <c:v>13.189999580383301</c:v>
                </c:pt>
                <c:pt idx="154">
                  <c:v>12.55000019073486</c:v>
                </c:pt>
                <c:pt idx="155">
                  <c:v>13.14000034332275</c:v>
                </c:pt>
                <c:pt idx="156">
                  <c:v>13.44999980926514</c:v>
                </c:pt>
                <c:pt idx="157">
                  <c:v>13.60000038146973</c:v>
                </c:pt>
                <c:pt idx="158">
                  <c:v>13.310000419616699</c:v>
                </c:pt>
                <c:pt idx="159">
                  <c:v>14.35000038146973</c:v>
                </c:pt>
                <c:pt idx="160">
                  <c:v>13.88000011444092</c:v>
                </c:pt>
                <c:pt idx="161">
                  <c:v>13.670000076293951</c:v>
                </c:pt>
                <c:pt idx="162">
                  <c:v>13.060000419616699</c:v>
                </c:pt>
                <c:pt idx="163">
                  <c:v>12.829999923706049</c:v>
                </c:pt>
                <c:pt idx="164">
                  <c:v>12.789999961853029</c:v>
                </c:pt>
                <c:pt idx="165">
                  <c:v>13.930000305175779</c:v>
                </c:pt>
                <c:pt idx="166">
                  <c:v>15.85000038146973</c:v>
                </c:pt>
                <c:pt idx="167">
                  <c:v>14.38000011444092</c:v>
                </c:pt>
                <c:pt idx="168">
                  <c:v>14.010000228881839</c:v>
                </c:pt>
                <c:pt idx="169">
                  <c:v>15.420000076293951</c:v>
                </c:pt>
                <c:pt idx="170">
                  <c:v>15.340000152587891</c:v>
                </c:pt>
                <c:pt idx="171">
                  <c:v>14.539999961853029</c:v>
                </c:pt>
                <c:pt idx="172">
                  <c:v>13.739999771118161</c:v>
                </c:pt>
                <c:pt idx="173">
                  <c:v>13.430000305175779</c:v>
                </c:pt>
                <c:pt idx="174">
                  <c:v>13.840000152587891</c:v>
                </c:pt>
                <c:pt idx="175">
                  <c:v>13.39999961853027</c:v>
                </c:pt>
                <c:pt idx="176">
                  <c:v>13.489999771118161</c:v>
                </c:pt>
                <c:pt idx="177">
                  <c:v>14.460000038146971</c:v>
                </c:pt>
                <c:pt idx="178">
                  <c:v>14.5</c:v>
                </c:pt>
                <c:pt idx="179">
                  <c:v>14.439999580383301</c:v>
                </c:pt>
                <c:pt idx="180">
                  <c:v>15.22000026702881</c:v>
                </c:pt>
                <c:pt idx="181">
                  <c:v>13.840000152587891</c:v>
                </c:pt>
                <c:pt idx="182">
                  <c:v>13.75</c:v>
                </c:pt>
                <c:pt idx="183">
                  <c:v>14.39999961853027</c:v>
                </c:pt>
                <c:pt idx="184">
                  <c:v>14.329999923706049</c:v>
                </c:pt>
                <c:pt idx="185">
                  <c:v>13.819999694824221</c:v>
                </c:pt>
                <c:pt idx="186">
                  <c:v>13.039999961853029</c:v>
                </c:pt>
                <c:pt idx="187">
                  <c:v>12.920000076293951</c:v>
                </c:pt>
                <c:pt idx="188">
                  <c:v>13.189999580383301</c:v>
                </c:pt>
                <c:pt idx="189">
                  <c:v>13.239999771118161</c:v>
                </c:pt>
                <c:pt idx="190">
                  <c:v>12.77999973297119</c:v>
                </c:pt>
                <c:pt idx="191">
                  <c:v>13.010000228881839</c:v>
                </c:pt>
                <c:pt idx="192">
                  <c:v>14.60999965667725</c:v>
                </c:pt>
                <c:pt idx="193">
                  <c:v>14.329999923706049</c:v>
                </c:pt>
                <c:pt idx="194">
                  <c:v>16.35000038146973</c:v>
                </c:pt>
                <c:pt idx="195">
                  <c:v>15.189999580383301</c:v>
                </c:pt>
                <c:pt idx="196">
                  <c:v>14.97999954223633</c:v>
                </c:pt>
                <c:pt idx="197">
                  <c:v>15.80000019073486</c:v>
                </c:pt>
                <c:pt idx="198">
                  <c:v>14.909999847412109</c:v>
                </c:pt>
              </c:numCache>
            </c:numRef>
          </c:yVal>
          <c:smooth val="1"/>
        </c:ser>
        <c:axId val="165650432"/>
        <c:axId val="165644544"/>
      </c:scatterChart>
      <c:valAx>
        <c:axId val="160242304"/>
        <c:scaling>
          <c:orientation val="minMax"/>
        </c:scaling>
        <c:axPos val="b"/>
        <c:numFmt formatCode="yyyy\-mm\-dd\ hh:mm:ss" sourceLinked="1"/>
        <c:tickLblPos val="nextTo"/>
        <c:txPr>
          <a:bodyPr rot="-5400000" vert="horz"/>
          <a:lstStyle/>
          <a:p>
            <a:pPr>
              <a:defRPr sz="800"/>
            </a:pPr>
            <a:endParaRPr lang="en-US"/>
          </a:p>
        </c:txPr>
        <c:crossAx val="165643008"/>
        <c:crosses val="autoZero"/>
        <c:crossBetween val="midCat"/>
      </c:valAx>
      <c:valAx>
        <c:axId val="165643008"/>
        <c:scaling>
          <c:orientation val="minMax"/>
        </c:scaling>
        <c:axPos val="l"/>
        <c:majorGridlines/>
        <c:numFmt formatCode="General" sourceLinked="1"/>
        <c:tickLblPos val="nextTo"/>
        <c:crossAx val="160242304"/>
        <c:crosses val="autoZero"/>
        <c:crossBetween val="midCat"/>
      </c:valAx>
      <c:valAx>
        <c:axId val="165644544"/>
        <c:scaling>
          <c:orientation val="minMax"/>
        </c:scaling>
        <c:axPos val="r"/>
        <c:numFmt formatCode="0" sourceLinked="1"/>
        <c:tickLblPos val="nextTo"/>
        <c:crossAx val="165650432"/>
        <c:crosses val="max"/>
        <c:crossBetween val="midCat"/>
      </c:valAx>
      <c:valAx>
        <c:axId val="165650432"/>
        <c:scaling>
          <c:orientation val="minMax"/>
        </c:scaling>
        <c:delete val="1"/>
        <c:axPos val="b"/>
        <c:numFmt formatCode="yyyy\-mm\-dd\ hh:mm:ss" sourceLinked="1"/>
        <c:tickLblPos val="nextTo"/>
        <c:crossAx val="165644544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VIX vs</a:t>
            </a:r>
            <a:r>
              <a:rPr lang="en-US" baseline="0"/>
              <a:t> USD_MXN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Sheet2!$B$1</c:f>
              <c:strCache>
                <c:ptCount val="1"/>
                <c:pt idx="0">
                  <c:v>USD_MXN</c:v>
                </c:pt>
              </c:strCache>
            </c:strRef>
          </c:tx>
          <c:marker>
            <c:symbol val="none"/>
          </c:marker>
          <c:cat>
            <c:numRef>
              <c:f>Sheet2!$A$2:$A$200</c:f>
              <c:numCache>
                <c:formatCode>m/d/yyyy</c:formatCode>
                <c:ptCount val="199"/>
                <c:pt idx="0">
                  <c:v>45033</c:v>
                </c:pt>
                <c:pt idx="1">
                  <c:v>45034</c:v>
                </c:pt>
                <c:pt idx="2">
                  <c:v>45035</c:v>
                </c:pt>
                <c:pt idx="3">
                  <c:v>45036</c:v>
                </c:pt>
                <c:pt idx="4">
                  <c:v>45037</c:v>
                </c:pt>
                <c:pt idx="5">
                  <c:v>45038</c:v>
                </c:pt>
                <c:pt idx="6">
                  <c:v>45039</c:v>
                </c:pt>
                <c:pt idx="7">
                  <c:v>45040</c:v>
                </c:pt>
                <c:pt idx="8">
                  <c:v>45041</c:v>
                </c:pt>
                <c:pt idx="9">
                  <c:v>45042</c:v>
                </c:pt>
                <c:pt idx="10">
                  <c:v>45043</c:v>
                </c:pt>
                <c:pt idx="11">
                  <c:v>45044</c:v>
                </c:pt>
                <c:pt idx="12">
                  <c:v>45045</c:v>
                </c:pt>
                <c:pt idx="13">
                  <c:v>45046</c:v>
                </c:pt>
                <c:pt idx="14">
                  <c:v>45047</c:v>
                </c:pt>
                <c:pt idx="15">
                  <c:v>45048</c:v>
                </c:pt>
                <c:pt idx="16">
                  <c:v>45049</c:v>
                </c:pt>
                <c:pt idx="17">
                  <c:v>45050</c:v>
                </c:pt>
                <c:pt idx="18">
                  <c:v>45051</c:v>
                </c:pt>
                <c:pt idx="19">
                  <c:v>45052</c:v>
                </c:pt>
                <c:pt idx="20">
                  <c:v>45053</c:v>
                </c:pt>
                <c:pt idx="21">
                  <c:v>45054</c:v>
                </c:pt>
                <c:pt idx="22">
                  <c:v>45055</c:v>
                </c:pt>
                <c:pt idx="23">
                  <c:v>45056</c:v>
                </c:pt>
                <c:pt idx="24">
                  <c:v>45057</c:v>
                </c:pt>
                <c:pt idx="25">
                  <c:v>45058</c:v>
                </c:pt>
                <c:pt idx="26">
                  <c:v>45059</c:v>
                </c:pt>
                <c:pt idx="27">
                  <c:v>45060</c:v>
                </c:pt>
                <c:pt idx="28">
                  <c:v>45061</c:v>
                </c:pt>
                <c:pt idx="29">
                  <c:v>45062</c:v>
                </c:pt>
                <c:pt idx="30">
                  <c:v>45063</c:v>
                </c:pt>
                <c:pt idx="31">
                  <c:v>45064</c:v>
                </c:pt>
                <c:pt idx="32">
                  <c:v>45065</c:v>
                </c:pt>
                <c:pt idx="33">
                  <c:v>45066</c:v>
                </c:pt>
                <c:pt idx="34">
                  <c:v>45067</c:v>
                </c:pt>
                <c:pt idx="35">
                  <c:v>45068</c:v>
                </c:pt>
                <c:pt idx="36">
                  <c:v>45069</c:v>
                </c:pt>
                <c:pt idx="37">
                  <c:v>45070</c:v>
                </c:pt>
                <c:pt idx="38">
                  <c:v>45071</c:v>
                </c:pt>
                <c:pt idx="39">
                  <c:v>45072</c:v>
                </c:pt>
                <c:pt idx="40">
                  <c:v>45073</c:v>
                </c:pt>
                <c:pt idx="41">
                  <c:v>45074</c:v>
                </c:pt>
                <c:pt idx="42">
                  <c:v>45075</c:v>
                </c:pt>
                <c:pt idx="43">
                  <c:v>45076</c:v>
                </c:pt>
                <c:pt idx="44">
                  <c:v>45077</c:v>
                </c:pt>
                <c:pt idx="45">
                  <c:v>45078</c:v>
                </c:pt>
                <c:pt idx="46">
                  <c:v>45079</c:v>
                </c:pt>
                <c:pt idx="47">
                  <c:v>45080</c:v>
                </c:pt>
                <c:pt idx="48">
                  <c:v>45081</c:v>
                </c:pt>
                <c:pt idx="49">
                  <c:v>45082</c:v>
                </c:pt>
                <c:pt idx="50">
                  <c:v>45083</c:v>
                </c:pt>
                <c:pt idx="51">
                  <c:v>45084</c:v>
                </c:pt>
                <c:pt idx="52">
                  <c:v>45085</c:v>
                </c:pt>
                <c:pt idx="53">
                  <c:v>45086</c:v>
                </c:pt>
                <c:pt idx="54">
                  <c:v>45087</c:v>
                </c:pt>
                <c:pt idx="55">
                  <c:v>45088</c:v>
                </c:pt>
                <c:pt idx="56">
                  <c:v>45089</c:v>
                </c:pt>
                <c:pt idx="57">
                  <c:v>45090</c:v>
                </c:pt>
                <c:pt idx="58">
                  <c:v>45091</c:v>
                </c:pt>
                <c:pt idx="59">
                  <c:v>45092</c:v>
                </c:pt>
                <c:pt idx="60">
                  <c:v>45093</c:v>
                </c:pt>
                <c:pt idx="61">
                  <c:v>45094</c:v>
                </c:pt>
                <c:pt idx="62">
                  <c:v>45095</c:v>
                </c:pt>
                <c:pt idx="63">
                  <c:v>45096</c:v>
                </c:pt>
                <c:pt idx="64">
                  <c:v>45097</c:v>
                </c:pt>
                <c:pt idx="65">
                  <c:v>45098</c:v>
                </c:pt>
                <c:pt idx="66">
                  <c:v>45099</c:v>
                </c:pt>
                <c:pt idx="67">
                  <c:v>45100</c:v>
                </c:pt>
                <c:pt idx="68">
                  <c:v>45101</c:v>
                </c:pt>
                <c:pt idx="69">
                  <c:v>45102</c:v>
                </c:pt>
                <c:pt idx="70">
                  <c:v>45103</c:v>
                </c:pt>
                <c:pt idx="71">
                  <c:v>45104</c:v>
                </c:pt>
                <c:pt idx="72">
                  <c:v>45105</c:v>
                </c:pt>
                <c:pt idx="73">
                  <c:v>45106</c:v>
                </c:pt>
                <c:pt idx="74">
                  <c:v>45107</c:v>
                </c:pt>
                <c:pt idx="75">
                  <c:v>45108</c:v>
                </c:pt>
                <c:pt idx="76">
                  <c:v>45109</c:v>
                </c:pt>
                <c:pt idx="77">
                  <c:v>45110</c:v>
                </c:pt>
                <c:pt idx="78">
                  <c:v>45111</c:v>
                </c:pt>
                <c:pt idx="79">
                  <c:v>45112</c:v>
                </c:pt>
                <c:pt idx="80">
                  <c:v>45113</c:v>
                </c:pt>
                <c:pt idx="81">
                  <c:v>45114</c:v>
                </c:pt>
                <c:pt idx="82">
                  <c:v>45115</c:v>
                </c:pt>
                <c:pt idx="83">
                  <c:v>45116</c:v>
                </c:pt>
                <c:pt idx="84">
                  <c:v>45117</c:v>
                </c:pt>
                <c:pt idx="85">
                  <c:v>45118</c:v>
                </c:pt>
                <c:pt idx="86">
                  <c:v>45119</c:v>
                </c:pt>
                <c:pt idx="87">
                  <c:v>45120</c:v>
                </c:pt>
                <c:pt idx="88">
                  <c:v>45121</c:v>
                </c:pt>
                <c:pt idx="89">
                  <c:v>45122</c:v>
                </c:pt>
                <c:pt idx="90">
                  <c:v>45123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45129</c:v>
                </c:pt>
                <c:pt idx="97">
                  <c:v>45130</c:v>
                </c:pt>
                <c:pt idx="98">
                  <c:v>45131</c:v>
                </c:pt>
                <c:pt idx="99">
                  <c:v>45132</c:v>
                </c:pt>
                <c:pt idx="100">
                  <c:v>45133</c:v>
                </c:pt>
                <c:pt idx="101">
                  <c:v>45134</c:v>
                </c:pt>
                <c:pt idx="102">
                  <c:v>45135</c:v>
                </c:pt>
                <c:pt idx="103">
                  <c:v>45136</c:v>
                </c:pt>
                <c:pt idx="104">
                  <c:v>45137</c:v>
                </c:pt>
                <c:pt idx="105">
                  <c:v>45138</c:v>
                </c:pt>
                <c:pt idx="106">
                  <c:v>45139</c:v>
                </c:pt>
                <c:pt idx="107">
                  <c:v>45140</c:v>
                </c:pt>
                <c:pt idx="108">
                  <c:v>45141</c:v>
                </c:pt>
                <c:pt idx="109">
                  <c:v>45142</c:v>
                </c:pt>
                <c:pt idx="110">
                  <c:v>45143</c:v>
                </c:pt>
                <c:pt idx="111">
                  <c:v>45144</c:v>
                </c:pt>
                <c:pt idx="112">
                  <c:v>45145</c:v>
                </c:pt>
                <c:pt idx="113">
                  <c:v>45146</c:v>
                </c:pt>
                <c:pt idx="114">
                  <c:v>45147</c:v>
                </c:pt>
                <c:pt idx="115">
                  <c:v>45148</c:v>
                </c:pt>
                <c:pt idx="116">
                  <c:v>45149</c:v>
                </c:pt>
                <c:pt idx="117">
                  <c:v>45150</c:v>
                </c:pt>
                <c:pt idx="118">
                  <c:v>45151</c:v>
                </c:pt>
                <c:pt idx="119">
                  <c:v>45152</c:v>
                </c:pt>
                <c:pt idx="120">
                  <c:v>45153</c:v>
                </c:pt>
                <c:pt idx="121">
                  <c:v>45154</c:v>
                </c:pt>
                <c:pt idx="122">
                  <c:v>45155</c:v>
                </c:pt>
                <c:pt idx="123">
                  <c:v>45156</c:v>
                </c:pt>
                <c:pt idx="124">
                  <c:v>45157</c:v>
                </c:pt>
                <c:pt idx="125">
                  <c:v>45158</c:v>
                </c:pt>
                <c:pt idx="126">
                  <c:v>45159</c:v>
                </c:pt>
                <c:pt idx="127">
                  <c:v>45160</c:v>
                </c:pt>
                <c:pt idx="128">
                  <c:v>45161</c:v>
                </c:pt>
                <c:pt idx="129">
                  <c:v>45162</c:v>
                </c:pt>
                <c:pt idx="130">
                  <c:v>45163</c:v>
                </c:pt>
                <c:pt idx="131">
                  <c:v>45164</c:v>
                </c:pt>
                <c:pt idx="132">
                  <c:v>45165</c:v>
                </c:pt>
                <c:pt idx="133">
                  <c:v>45166</c:v>
                </c:pt>
                <c:pt idx="134">
                  <c:v>45167</c:v>
                </c:pt>
                <c:pt idx="135">
                  <c:v>45168</c:v>
                </c:pt>
                <c:pt idx="136">
                  <c:v>45169</c:v>
                </c:pt>
                <c:pt idx="137">
                  <c:v>45170</c:v>
                </c:pt>
                <c:pt idx="138">
                  <c:v>45171</c:v>
                </c:pt>
                <c:pt idx="139">
                  <c:v>45172</c:v>
                </c:pt>
                <c:pt idx="140">
                  <c:v>45173</c:v>
                </c:pt>
                <c:pt idx="141">
                  <c:v>45174</c:v>
                </c:pt>
                <c:pt idx="142">
                  <c:v>45175</c:v>
                </c:pt>
                <c:pt idx="143">
                  <c:v>45176</c:v>
                </c:pt>
                <c:pt idx="144">
                  <c:v>45177</c:v>
                </c:pt>
                <c:pt idx="145">
                  <c:v>45178</c:v>
                </c:pt>
                <c:pt idx="146">
                  <c:v>45179</c:v>
                </c:pt>
                <c:pt idx="147">
                  <c:v>45180</c:v>
                </c:pt>
                <c:pt idx="148">
                  <c:v>45181</c:v>
                </c:pt>
                <c:pt idx="149">
                  <c:v>45182</c:v>
                </c:pt>
                <c:pt idx="150">
                  <c:v>45183</c:v>
                </c:pt>
                <c:pt idx="151">
                  <c:v>45184</c:v>
                </c:pt>
                <c:pt idx="152">
                  <c:v>45185</c:v>
                </c:pt>
                <c:pt idx="153">
                  <c:v>45186</c:v>
                </c:pt>
                <c:pt idx="154">
                  <c:v>45187</c:v>
                </c:pt>
                <c:pt idx="155">
                  <c:v>45188</c:v>
                </c:pt>
                <c:pt idx="156">
                  <c:v>45189</c:v>
                </c:pt>
                <c:pt idx="157">
                  <c:v>45190</c:v>
                </c:pt>
                <c:pt idx="158">
                  <c:v>45191</c:v>
                </c:pt>
                <c:pt idx="159">
                  <c:v>45192</c:v>
                </c:pt>
                <c:pt idx="160">
                  <c:v>45193</c:v>
                </c:pt>
                <c:pt idx="161">
                  <c:v>45194</c:v>
                </c:pt>
                <c:pt idx="162">
                  <c:v>45195</c:v>
                </c:pt>
                <c:pt idx="163">
                  <c:v>45196</c:v>
                </c:pt>
                <c:pt idx="164">
                  <c:v>45197</c:v>
                </c:pt>
                <c:pt idx="165">
                  <c:v>45198</c:v>
                </c:pt>
                <c:pt idx="166">
                  <c:v>45199</c:v>
                </c:pt>
                <c:pt idx="167">
                  <c:v>45200</c:v>
                </c:pt>
                <c:pt idx="168">
                  <c:v>45201</c:v>
                </c:pt>
                <c:pt idx="169">
                  <c:v>45202</c:v>
                </c:pt>
                <c:pt idx="170">
                  <c:v>45203</c:v>
                </c:pt>
                <c:pt idx="171">
                  <c:v>45204</c:v>
                </c:pt>
                <c:pt idx="172">
                  <c:v>45205</c:v>
                </c:pt>
                <c:pt idx="173">
                  <c:v>45206</c:v>
                </c:pt>
                <c:pt idx="174">
                  <c:v>45207</c:v>
                </c:pt>
                <c:pt idx="175">
                  <c:v>45208</c:v>
                </c:pt>
                <c:pt idx="176">
                  <c:v>45209</c:v>
                </c:pt>
                <c:pt idx="177">
                  <c:v>45210</c:v>
                </c:pt>
                <c:pt idx="178">
                  <c:v>45211</c:v>
                </c:pt>
                <c:pt idx="179">
                  <c:v>45212</c:v>
                </c:pt>
                <c:pt idx="180">
                  <c:v>45213</c:v>
                </c:pt>
                <c:pt idx="181">
                  <c:v>45214</c:v>
                </c:pt>
                <c:pt idx="182">
                  <c:v>45215</c:v>
                </c:pt>
                <c:pt idx="183">
                  <c:v>45216</c:v>
                </c:pt>
                <c:pt idx="184">
                  <c:v>45217</c:v>
                </c:pt>
                <c:pt idx="185">
                  <c:v>45218</c:v>
                </c:pt>
                <c:pt idx="186">
                  <c:v>45219</c:v>
                </c:pt>
                <c:pt idx="187">
                  <c:v>45220</c:v>
                </c:pt>
                <c:pt idx="188">
                  <c:v>45221</c:v>
                </c:pt>
                <c:pt idx="189">
                  <c:v>45222</c:v>
                </c:pt>
                <c:pt idx="190">
                  <c:v>45223</c:v>
                </c:pt>
                <c:pt idx="191">
                  <c:v>45224</c:v>
                </c:pt>
                <c:pt idx="192">
                  <c:v>45225</c:v>
                </c:pt>
                <c:pt idx="193">
                  <c:v>45226</c:v>
                </c:pt>
                <c:pt idx="194">
                  <c:v>45227</c:v>
                </c:pt>
                <c:pt idx="195">
                  <c:v>45228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</c:numCache>
            </c:numRef>
          </c:cat>
          <c:val>
            <c:numRef>
              <c:f>Sheet2!$B$2:$B$200</c:f>
              <c:numCache>
                <c:formatCode>General</c:formatCode>
                <c:ptCount val="199"/>
                <c:pt idx="0">
                  <c:v>18.05125</c:v>
                </c:pt>
                <c:pt idx="1">
                  <c:v>18.045649999999998</c:v>
                </c:pt>
                <c:pt idx="2">
                  <c:v>18.000599999999999</c:v>
                </c:pt>
                <c:pt idx="3">
                  <c:v>17.995660000000001</c:v>
                </c:pt>
                <c:pt idx="4">
                  <c:v>18.07375</c:v>
                </c:pt>
                <c:pt idx="5">
                  <c:v>18.152049999999999</c:v>
                </c:pt>
                <c:pt idx="6">
                  <c:v>18.033149999999999</c:v>
                </c:pt>
                <c:pt idx="7">
                  <c:v>17.997900000000001</c:v>
                </c:pt>
                <c:pt idx="8">
                  <c:v>17.979849999999999</c:v>
                </c:pt>
                <c:pt idx="9">
                  <c:v>17.930599999999998</c:v>
                </c:pt>
                <c:pt idx="10">
                  <c:v>17.907</c:v>
                </c:pt>
                <c:pt idx="11">
                  <c:v>17.753450000000001</c:v>
                </c:pt>
                <c:pt idx="12">
                  <c:v>17.773350000000001</c:v>
                </c:pt>
                <c:pt idx="13">
                  <c:v>17.551400000000001</c:v>
                </c:pt>
                <c:pt idx="14">
                  <c:v>17.5793</c:v>
                </c:pt>
                <c:pt idx="15">
                  <c:v>17.601949999999999</c:v>
                </c:pt>
                <c:pt idx="16">
                  <c:v>17.50675</c:v>
                </c:pt>
                <c:pt idx="17">
                  <c:v>17.5991</c:v>
                </c:pt>
                <c:pt idx="18">
                  <c:v>17.719349999999999</c:v>
                </c:pt>
                <c:pt idx="19">
                  <c:v>17.7849</c:v>
                </c:pt>
                <c:pt idx="20">
                  <c:v>17.974969999999999</c:v>
                </c:pt>
                <c:pt idx="21">
                  <c:v>17.800999999999998</c:v>
                </c:pt>
                <c:pt idx="22">
                  <c:v>17.854800000000001</c:v>
                </c:pt>
                <c:pt idx="23">
                  <c:v>17.623950000000001</c:v>
                </c:pt>
                <c:pt idx="24">
                  <c:v>17.6813</c:v>
                </c:pt>
                <c:pt idx="25">
                  <c:v>17.551600000000001</c:v>
                </c:pt>
                <c:pt idx="26">
                  <c:v>17.56035</c:v>
                </c:pt>
                <c:pt idx="27">
                  <c:v>17.385300000000001</c:v>
                </c:pt>
                <c:pt idx="28">
                  <c:v>17.3597</c:v>
                </c:pt>
                <c:pt idx="29">
                  <c:v>17.378</c:v>
                </c:pt>
                <c:pt idx="30">
                  <c:v>17.286449999999999</c:v>
                </c:pt>
                <c:pt idx="31">
                  <c:v>17.222999999999999</c:v>
                </c:pt>
                <c:pt idx="32">
                  <c:v>17.105499999999999</c:v>
                </c:pt>
                <c:pt idx="33">
                  <c:v>17.119900000000001</c:v>
                </c:pt>
                <c:pt idx="34">
                  <c:v>17.0733</c:v>
                </c:pt>
                <c:pt idx="35">
                  <c:v>17.11645</c:v>
                </c:pt>
                <c:pt idx="36">
                  <c:v>17.189599999999999</c:v>
                </c:pt>
                <c:pt idx="37">
                  <c:v>17.186900000000001</c:v>
                </c:pt>
                <c:pt idx="38">
                  <c:v>17.13635</c:v>
                </c:pt>
                <c:pt idx="39">
                  <c:v>17.085699999999999</c:v>
                </c:pt>
                <c:pt idx="40">
                  <c:v>17.0946</c:v>
                </c:pt>
                <c:pt idx="41">
                  <c:v>17.124099999999999</c:v>
                </c:pt>
                <c:pt idx="42">
                  <c:v>17.121590000000001</c:v>
                </c:pt>
                <c:pt idx="43">
                  <c:v>17.0534</c:v>
                </c:pt>
                <c:pt idx="44">
                  <c:v>17.240349999999999</c:v>
                </c:pt>
                <c:pt idx="45">
                  <c:v>17.14594</c:v>
                </c:pt>
                <c:pt idx="46">
                  <c:v>17.04505</c:v>
                </c:pt>
                <c:pt idx="47">
                  <c:v>16.896750000000001</c:v>
                </c:pt>
                <c:pt idx="48">
                  <c:v>16.839500000000001</c:v>
                </c:pt>
                <c:pt idx="49">
                  <c:v>16.750050000000002</c:v>
                </c:pt>
                <c:pt idx="50">
                  <c:v>16.751149999999999</c:v>
                </c:pt>
                <c:pt idx="51">
                  <c:v>16.71245</c:v>
                </c:pt>
                <c:pt idx="52">
                  <c:v>16.8796</c:v>
                </c:pt>
                <c:pt idx="53">
                  <c:v>16.988350000000001</c:v>
                </c:pt>
                <c:pt idx="54">
                  <c:v>16.932749999999999</c:v>
                </c:pt>
                <c:pt idx="55">
                  <c:v>16.8429</c:v>
                </c:pt>
                <c:pt idx="56">
                  <c:v>16.877099999999999</c:v>
                </c:pt>
                <c:pt idx="57">
                  <c:v>16.690100000000001</c:v>
                </c:pt>
                <c:pt idx="58">
                  <c:v>16.881150000000002</c:v>
                </c:pt>
                <c:pt idx="59">
                  <c:v>17.016449999999999</c:v>
                </c:pt>
                <c:pt idx="60">
                  <c:v>17.3523</c:v>
                </c:pt>
                <c:pt idx="61">
                  <c:v>17.078299999999999</c:v>
                </c:pt>
                <c:pt idx="62">
                  <c:v>17.118449999999999</c:v>
                </c:pt>
                <c:pt idx="63">
                  <c:v>17.0578</c:v>
                </c:pt>
                <c:pt idx="64">
                  <c:v>17.1309</c:v>
                </c:pt>
                <c:pt idx="65">
                  <c:v>17.003350000000001</c:v>
                </c:pt>
                <c:pt idx="66">
                  <c:v>17.149550000000001</c:v>
                </c:pt>
                <c:pt idx="67">
                  <c:v>17.143699999999999</c:v>
                </c:pt>
                <c:pt idx="68">
                  <c:v>17.10765</c:v>
                </c:pt>
                <c:pt idx="69">
                  <c:v>17.058700000000002</c:v>
                </c:pt>
                <c:pt idx="70">
                  <c:v>16.908149999999999</c:v>
                </c:pt>
                <c:pt idx="71">
                  <c:v>16.7943</c:v>
                </c:pt>
                <c:pt idx="72">
                  <c:v>16.836449999999999</c:v>
                </c:pt>
                <c:pt idx="73">
                  <c:v>16.752800000000001</c:v>
                </c:pt>
                <c:pt idx="74">
                  <c:v>16.796050000000001</c:v>
                </c:pt>
                <c:pt idx="75">
                  <c:v>16.744150000000001</c:v>
                </c:pt>
                <c:pt idx="76">
                  <c:v>17.044550000000001</c:v>
                </c:pt>
                <c:pt idx="77">
                  <c:v>17.095199999999998</c:v>
                </c:pt>
                <c:pt idx="78">
                  <c:v>17.582000000000001</c:v>
                </c:pt>
                <c:pt idx="79">
                  <c:v>17.6096</c:v>
                </c:pt>
                <c:pt idx="80">
                  <c:v>17.595079999999999</c:v>
                </c:pt>
                <c:pt idx="81">
                  <c:v>17.225449999999999</c:v>
                </c:pt>
                <c:pt idx="82">
                  <c:v>17.152999999999999</c:v>
                </c:pt>
                <c:pt idx="83">
                  <c:v>17.112500000000001</c:v>
                </c:pt>
                <c:pt idx="84">
                  <c:v>17.083749999999998</c:v>
                </c:pt>
                <c:pt idx="85">
                  <c:v>17.084250000000001</c:v>
                </c:pt>
                <c:pt idx="86">
                  <c:v>17.094449999999998</c:v>
                </c:pt>
                <c:pt idx="87">
                  <c:v>17.235299999999999</c:v>
                </c:pt>
                <c:pt idx="88">
                  <c:v>17.21855</c:v>
                </c:pt>
                <c:pt idx="89">
                  <c:v>17.548400000000001</c:v>
                </c:pt>
                <c:pt idx="90">
                  <c:v>17.669750000000001</c:v>
                </c:pt>
                <c:pt idx="91">
                  <c:v>17.540299999999998</c:v>
                </c:pt>
                <c:pt idx="92">
                  <c:v>17.418299999999999</c:v>
                </c:pt>
                <c:pt idx="93">
                  <c:v>18.072399999999998</c:v>
                </c:pt>
                <c:pt idx="94">
                  <c:v>17.955480000000001</c:v>
                </c:pt>
                <c:pt idx="95">
                  <c:v>18.26005</c:v>
                </c:pt>
                <c:pt idx="96">
                  <c:v>18.1784</c:v>
                </c:pt>
                <c:pt idx="97">
                  <c:v>17.9376</c:v>
                </c:pt>
                <c:pt idx="98">
                  <c:v>17.8322</c:v>
                </c:pt>
                <c:pt idx="99">
                  <c:v>17.984359999999999</c:v>
                </c:pt>
                <c:pt idx="100">
                  <c:v>18.090859999999999</c:v>
                </c:pt>
                <c:pt idx="101">
                  <c:v>18.017600000000002</c:v>
                </c:pt>
                <c:pt idx="102">
                  <c:v>18.249649999999999</c:v>
                </c:pt>
                <c:pt idx="103">
                  <c:v>18.325800000000001</c:v>
                </c:pt>
                <c:pt idx="104">
                  <c:v>18.23725</c:v>
                </c:pt>
                <c:pt idx="105">
                  <c:v>18.25695</c:v>
                </c:pt>
                <c:pt idx="106">
                  <c:v>18.32835</c:v>
                </c:pt>
                <c:pt idx="107">
                  <c:v>18.1539</c:v>
                </c:pt>
                <c:pt idx="108">
                  <c:v>18.117750000000001</c:v>
                </c:pt>
                <c:pt idx="109">
                  <c:v>18.064350000000001</c:v>
                </c:pt>
                <c:pt idx="110">
                  <c:v>17.777100000000001</c:v>
                </c:pt>
                <c:pt idx="111">
                  <c:v>17.512219999999999</c:v>
                </c:pt>
                <c:pt idx="112">
                  <c:v>17.460419999999999</c:v>
                </c:pt>
                <c:pt idx="113">
                  <c:v>17.476849999999999</c:v>
                </c:pt>
                <c:pt idx="114">
                  <c:v>17.536200000000001</c:v>
                </c:pt>
                <c:pt idx="115">
                  <c:v>17.821000000000002</c:v>
                </c:pt>
                <c:pt idx="116">
                  <c:v>17.645800000000001</c:v>
                </c:pt>
                <c:pt idx="117">
                  <c:v>17.339500000000001</c:v>
                </c:pt>
                <c:pt idx="118">
                  <c:v>17.297249999999998</c:v>
                </c:pt>
                <c:pt idx="119">
                  <c:v>17.22775</c:v>
                </c:pt>
                <c:pt idx="120">
                  <c:v>17.229050000000001</c:v>
                </c:pt>
                <c:pt idx="121">
                  <c:v>17.196950000000001</c:v>
                </c:pt>
                <c:pt idx="122">
                  <c:v>17.19445</c:v>
                </c:pt>
                <c:pt idx="123">
                  <c:v>17.1861</c:v>
                </c:pt>
                <c:pt idx="124">
                  <c:v>17.140550000000001</c:v>
                </c:pt>
                <c:pt idx="125">
                  <c:v>17.283550000000002</c:v>
                </c:pt>
                <c:pt idx="126">
                  <c:v>17.3902</c:v>
                </c:pt>
                <c:pt idx="127">
                  <c:v>17.18655</c:v>
                </c:pt>
                <c:pt idx="128">
                  <c:v>17.378499999999999</c:v>
                </c:pt>
                <c:pt idx="129">
                  <c:v>17.277200000000001</c:v>
                </c:pt>
                <c:pt idx="130">
                  <c:v>17.4757</c:v>
                </c:pt>
                <c:pt idx="131">
                  <c:v>17.34675</c:v>
                </c:pt>
                <c:pt idx="132">
                  <c:v>17.3062</c:v>
                </c:pt>
                <c:pt idx="133">
                  <c:v>17.235050000000001</c:v>
                </c:pt>
                <c:pt idx="134">
                  <c:v>17.196100000000001</c:v>
                </c:pt>
                <c:pt idx="135">
                  <c:v>17.20665</c:v>
                </c:pt>
                <c:pt idx="136">
                  <c:v>17.070699999999999</c:v>
                </c:pt>
                <c:pt idx="137">
                  <c:v>17.145350000000001</c:v>
                </c:pt>
                <c:pt idx="138">
                  <c:v>17.023250000000001</c:v>
                </c:pt>
                <c:pt idx="139">
                  <c:v>16.978249999999999</c:v>
                </c:pt>
                <c:pt idx="140">
                  <c:v>16.919799999999999</c:v>
                </c:pt>
                <c:pt idx="141">
                  <c:v>16.962299999999999</c:v>
                </c:pt>
                <c:pt idx="142">
                  <c:v>16.973500000000001</c:v>
                </c:pt>
                <c:pt idx="143">
                  <c:v>17.016300000000001</c:v>
                </c:pt>
                <c:pt idx="144">
                  <c:v>17.014500000000002</c:v>
                </c:pt>
                <c:pt idx="145">
                  <c:v>16.883700000000001</c:v>
                </c:pt>
                <c:pt idx="146">
                  <c:v>16.96866</c:v>
                </c:pt>
                <c:pt idx="147">
                  <c:v>16.973500000000001</c:v>
                </c:pt>
                <c:pt idx="148">
                  <c:v>16.915500000000002</c:v>
                </c:pt>
                <c:pt idx="149">
                  <c:v>16.864550000000001</c:v>
                </c:pt>
                <c:pt idx="150">
                  <c:v>17.196149999999999</c:v>
                </c:pt>
                <c:pt idx="151">
                  <c:v>17.16675</c:v>
                </c:pt>
                <c:pt idx="152">
                  <c:v>17.081150000000001</c:v>
                </c:pt>
                <c:pt idx="153">
                  <c:v>17.302299999999999</c:v>
                </c:pt>
                <c:pt idx="154">
                  <c:v>17.227599999999999</c:v>
                </c:pt>
                <c:pt idx="155">
                  <c:v>17.19725</c:v>
                </c:pt>
                <c:pt idx="156">
                  <c:v>17.158200000000001</c:v>
                </c:pt>
                <c:pt idx="157">
                  <c:v>17.151599999999998</c:v>
                </c:pt>
                <c:pt idx="158">
                  <c:v>17.216750000000001</c:v>
                </c:pt>
                <c:pt idx="159">
                  <c:v>17.080500000000001</c:v>
                </c:pt>
                <c:pt idx="160">
                  <c:v>17.1448</c:v>
                </c:pt>
                <c:pt idx="161">
                  <c:v>17.039950000000001</c:v>
                </c:pt>
                <c:pt idx="162">
                  <c:v>17.047599999999999</c:v>
                </c:pt>
                <c:pt idx="163">
                  <c:v>17.145800000000001</c:v>
                </c:pt>
                <c:pt idx="164">
                  <c:v>17.088650000000001</c:v>
                </c:pt>
                <c:pt idx="165">
                  <c:v>17.198049999999999</c:v>
                </c:pt>
                <c:pt idx="166">
                  <c:v>17.083100000000002</c:v>
                </c:pt>
                <c:pt idx="167">
                  <c:v>17.041599999999999</c:v>
                </c:pt>
                <c:pt idx="168">
                  <c:v>17.055399999999999</c:v>
                </c:pt>
                <c:pt idx="169">
                  <c:v>17.0426</c:v>
                </c:pt>
                <c:pt idx="170">
                  <c:v>17.1084</c:v>
                </c:pt>
                <c:pt idx="171">
                  <c:v>17.121300000000002</c:v>
                </c:pt>
                <c:pt idx="172">
                  <c:v>17.0623</c:v>
                </c:pt>
                <c:pt idx="173">
                  <c:v>17.093800000000002</c:v>
                </c:pt>
                <c:pt idx="174">
                  <c:v>17.054849999999998</c:v>
                </c:pt>
                <c:pt idx="175">
                  <c:v>17.011849999999999</c:v>
                </c:pt>
                <c:pt idx="176">
                  <c:v>16.947099999999999</c:v>
                </c:pt>
                <c:pt idx="177">
                  <c:v>16.877700000000001</c:v>
                </c:pt>
                <c:pt idx="178">
                  <c:v>16.87565</c:v>
                </c:pt>
                <c:pt idx="179">
                  <c:v>16.810600000000001</c:v>
                </c:pt>
                <c:pt idx="180">
                  <c:v>16.79815</c:v>
                </c:pt>
                <c:pt idx="181">
                  <c:v>16.661349999999999</c:v>
                </c:pt>
                <c:pt idx="182">
                  <c:v>16.700849999999999</c:v>
                </c:pt>
                <c:pt idx="183">
                  <c:v>16.717099999999999</c:v>
                </c:pt>
                <c:pt idx="184">
                  <c:v>16.807300000000001</c:v>
                </c:pt>
                <c:pt idx="185">
                  <c:v>16.681249999999999</c:v>
                </c:pt>
                <c:pt idx="186">
                  <c:v>16.739999999999998</c:v>
                </c:pt>
                <c:pt idx="187">
                  <c:v>16.761500000000002</c:v>
                </c:pt>
                <c:pt idx="188">
                  <c:v>16.643650000000001</c:v>
                </c:pt>
                <c:pt idx="189">
                  <c:v>16.543099999999999</c:v>
                </c:pt>
                <c:pt idx="190">
                  <c:v>16.627700000000001</c:v>
                </c:pt>
                <c:pt idx="191">
                  <c:v>16.56465</c:v>
                </c:pt>
                <c:pt idx="192">
                  <c:v>16.540800000000001</c:v>
                </c:pt>
                <c:pt idx="193">
                  <c:v>16.590499999999999</c:v>
                </c:pt>
                <c:pt idx="194">
                  <c:v>16.453749999999999</c:v>
                </c:pt>
                <c:pt idx="195">
                  <c:v>16.387450000000001</c:v>
                </c:pt>
                <c:pt idx="196">
                  <c:v>16.442799999999998</c:v>
                </c:pt>
                <c:pt idx="197">
                  <c:v>16.4406</c:v>
                </c:pt>
                <c:pt idx="198">
                  <c:v>16.64395</c:v>
                </c:pt>
              </c:numCache>
            </c:numRef>
          </c:val>
        </c:ser>
        <c:marker val="1"/>
        <c:axId val="166649216"/>
        <c:axId val="166798464"/>
      </c:lineChart>
      <c:lineChart>
        <c:grouping val="standard"/>
        <c:ser>
          <c:idx val="1"/>
          <c:order val="1"/>
          <c:tx>
            <c:strRef>
              <c:f>Sheet2!$F$1</c:f>
              <c:strCache>
                <c:ptCount val="1"/>
                <c:pt idx="0">
                  <c:v>Vix</c:v>
                </c:pt>
              </c:strCache>
            </c:strRef>
          </c:tx>
          <c:marker>
            <c:symbol val="none"/>
          </c:marker>
          <c:cat>
            <c:numRef>
              <c:f>Sheet2!$A$2:$A$200</c:f>
              <c:numCache>
                <c:formatCode>m/d/yyyy</c:formatCode>
                <c:ptCount val="199"/>
                <c:pt idx="0">
                  <c:v>45033</c:v>
                </c:pt>
                <c:pt idx="1">
                  <c:v>45034</c:v>
                </c:pt>
                <c:pt idx="2">
                  <c:v>45035</c:v>
                </c:pt>
                <c:pt idx="3">
                  <c:v>45036</c:v>
                </c:pt>
                <c:pt idx="4">
                  <c:v>45037</c:v>
                </c:pt>
                <c:pt idx="5">
                  <c:v>45038</c:v>
                </c:pt>
                <c:pt idx="6">
                  <c:v>45039</c:v>
                </c:pt>
                <c:pt idx="7">
                  <c:v>45040</c:v>
                </c:pt>
                <c:pt idx="8">
                  <c:v>45041</c:v>
                </c:pt>
                <c:pt idx="9">
                  <c:v>45042</c:v>
                </c:pt>
                <c:pt idx="10">
                  <c:v>45043</c:v>
                </c:pt>
                <c:pt idx="11">
                  <c:v>45044</c:v>
                </c:pt>
                <c:pt idx="12">
                  <c:v>45045</c:v>
                </c:pt>
                <c:pt idx="13">
                  <c:v>45046</c:v>
                </c:pt>
                <c:pt idx="14">
                  <c:v>45047</c:v>
                </c:pt>
                <c:pt idx="15">
                  <c:v>45048</c:v>
                </c:pt>
                <c:pt idx="16">
                  <c:v>45049</c:v>
                </c:pt>
                <c:pt idx="17">
                  <c:v>45050</c:v>
                </c:pt>
                <c:pt idx="18">
                  <c:v>45051</c:v>
                </c:pt>
                <c:pt idx="19">
                  <c:v>45052</c:v>
                </c:pt>
                <c:pt idx="20">
                  <c:v>45053</c:v>
                </c:pt>
                <c:pt idx="21">
                  <c:v>45054</c:v>
                </c:pt>
                <c:pt idx="22">
                  <c:v>45055</c:v>
                </c:pt>
                <c:pt idx="23">
                  <c:v>45056</c:v>
                </c:pt>
                <c:pt idx="24">
                  <c:v>45057</c:v>
                </c:pt>
                <c:pt idx="25">
                  <c:v>45058</c:v>
                </c:pt>
                <c:pt idx="26">
                  <c:v>45059</c:v>
                </c:pt>
                <c:pt idx="27">
                  <c:v>45060</c:v>
                </c:pt>
                <c:pt idx="28">
                  <c:v>45061</c:v>
                </c:pt>
                <c:pt idx="29">
                  <c:v>45062</c:v>
                </c:pt>
                <c:pt idx="30">
                  <c:v>45063</c:v>
                </c:pt>
                <c:pt idx="31">
                  <c:v>45064</c:v>
                </c:pt>
                <c:pt idx="32">
                  <c:v>45065</c:v>
                </c:pt>
                <c:pt idx="33">
                  <c:v>45066</c:v>
                </c:pt>
                <c:pt idx="34">
                  <c:v>45067</c:v>
                </c:pt>
                <c:pt idx="35">
                  <c:v>45068</c:v>
                </c:pt>
                <c:pt idx="36">
                  <c:v>45069</c:v>
                </c:pt>
                <c:pt idx="37">
                  <c:v>45070</c:v>
                </c:pt>
                <c:pt idx="38">
                  <c:v>45071</c:v>
                </c:pt>
                <c:pt idx="39">
                  <c:v>45072</c:v>
                </c:pt>
                <c:pt idx="40">
                  <c:v>45073</c:v>
                </c:pt>
                <c:pt idx="41">
                  <c:v>45074</c:v>
                </c:pt>
                <c:pt idx="42">
                  <c:v>45075</c:v>
                </c:pt>
                <c:pt idx="43">
                  <c:v>45076</c:v>
                </c:pt>
                <c:pt idx="44">
                  <c:v>45077</c:v>
                </c:pt>
                <c:pt idx="45">
                  <c:v>45078</c:v>
                </c:pt>
                <c:pt idx="46">
                  <c:v>45079</c:v>
                </c:pt>
                <c:pt idx="47">
                  <c:v>45080</c:v>
                </c:pt>
                <c:pt idx="48">
                  <c:v>45081</c:v>
                </c:pt>
                <c:pt idx="49">
                  <c:v>45082</c:v>
                </c:pt>
                <c:pt idx="50">
                  <c:v>45083</c:v>
                </c:pt>
                <c:pt idx="51">
                  <c:v>45084</c:v>
                </c:pt>
                <c:pt idx="52">
                  <c:v>45085</c:v>
                </c:pt>
                <c:pt idx="53">
                  <c:v>45086</c:v>
                </c:pt>
                <c:pt idx="54">
                  <c:v>45087</c:v>
                </c:pt>
                <c:pt idx="55">
                  <c:v>45088</c:v>
                </c:pt>
                <c:pt idx="56">
                  <c:v>45089</c:v>
                </c:pt>
                <c:pt idx="57">
                  <c:v>45090</c:v>
                </c:pt>
                <c:pt idx="58">
                  <c:v>45091</c:v>
                </c:pt>
                <c:pt idx="59">
                  <c:v>45092</c:v>
                </c:pt>
                <c:pt idx="60">
                  <c:v>45093</c:v>
                </c:pt>
                <c:pt idx="61">
                  <c:v>45094</c:v>
                </c:pt>
                <c:pt idx="62">
                  <c:v>45095</c:v>
                </c:pt>
                <c:pt idx="63">
                  <c:v>45096</c:v>
                </c:pt>
                <c:pt idx="64">
                  <c:v>45097</c:v>
                </c:pt>
                <c:pt idx="65">
                  <c:v>45098</c:v>
                </c:pt>
                <c:pt idx="66">
                  <c:v>45099</c:v>
                </c:pt>
                <c:pt idx="67">
                  <c:v>45100</c:v>
                </c:pt>
                <c:pt idx="68">
                  <c:v>45101</c:v>
                </c:pt>
                <c:pt idx="69">
                  <c:v>45102</c:v>
                </c:pt>
                <c:pt idx="70">
                  <c:v>45103</c:v>
                </c:pt>
                <c:pt idx="71">
                  <c:v>45104</c:v>
                </c:pt>
                <c:pt idx="72">
                  <c:v>45105</c:v>
                </c:pt>
                <c:pt idx="73">
                  <c:v>45106</c:v>
                </c:pt>
                <c:pt idx="74">
                  <c:v>45107</c:v>
                </c:pt>
                <c:pt idx="75">
                  <c:v>45108</c:v>
                </c:pt>
                <c:pt idx="76">
                  <c:v>45109</c:v>
                </c:pt>
                <c:pt idx="77">
                  <c:v>45110</c:v>
                </c:pt>
                <c:pt idx="78">
                  <c:v>45111</c:v>
                </c:pt>
                <c:pt idx="79">
                  <c:v>45112</c:v>
                </c:pt>
                <c:pt idx="80">
                  <c:v>45113</c:v>
                </c:pt>
                <c:pt idx="81">
                  <c:v>45114</c:v>
                </c:pt>
                <c:pt idx="82">
                  <c:v>45115</c:v>
                </c:pt>
                <c:pt idx="83">
                  <c:v>45116</c:v>
                </c:pt>
                <c:pt idx="84">
                  <c:v>45117</c:v>
                </c:pt>
                <c:pt idx="85">
                  <c:v>45118</c:v>
                </c:pt>
                <c:pt idx="86">
                  <c:v>45119</c:v>
                </c:pt>
                <c:pt idx="87">
                  <c:v>45120</c:v>
                </c:pt>
                <c:pt idx="88">
                  <c:v>45121</c:v>
                </c:pt>
                <c:pt idx="89">
                  <c:v>45122</c:v>
                </c:pt>
                <c:pt idx="90">
                  <c:v>45123</c:v>
                </c:pt>
                <c:pt idx="91">
                  <c:v>45124</c:v>
                </c:pt>
                <c:pt idx="92">
                  <c:v>45125</c:v>
                </c:pt>
                <c:pt idx="93">
                  <c:v>45126</c:v>
                </c:pt>
                <c:pt idx="94">
                  <c:v>45127</c:v>
                </c:pt>
                <c:pt idx="95">
                  <c:v>45128</c:v>
                </c:pt>
                <c:pt idx="96">
                  <c:v>45129</c:v>
                </c:pt>
                <c:pt idx="97">
                  <c:v>45130</c:v>
                </c:pt>
                <c:pt idx="98">
                  <c:v>45131</c:v>
                </c:pt>
                <c:pt idx="99">
                  <c:v>45132</c:v>
                </c:pt>
                <c:pt idx="100">
                  <c:v>45133</c:v>
                </c:pt>
                <c:pt idx="101">
                  <c:v>45134</c:v>
                </c:pt>
                <c:pt idx="102">
                  <c:v>45135</c:v>
                </c:pt>
                <c:pt idx="103">
                  <c:v>45136</c:v>
                </c:pt>
                <c:pt idx="104">
                  <c:v>45137</c:v>
                </c:pt>
                <c:pt idx="105">
                  <c:v>45138</c:v>
                </c:pt>
                <c:pt idx="106">
                  <c:v>45139</c:v>
                </c:pt>
                <c:pt idx="107">
                  <c:v>45140</c:v>
                </c:pt>
                <c:pt idx="108">
                  <c:v>45141</c:v>
                </c:pt>
                <c:pt idx="109">
                  <c:v>45142</c:v>
                </c:pt>
                <c:pt idx="110">
                  <c:v>45143</c:v>
                </c:pt>
                <c:pt idx="111">
                  <c:v>45144</c:v>
                </c:pt>
                <c:pt idx="112">
                  <c:v>45145</c:v>
                </c:pt>
                <c:pt idx="113">
                  <c:v>45146</c:v>
                </c:pt>
                <c:pt idx="114">
                  <c:v>45147</c:v>
                </c:pt>
                <c:pt idx="115">
                  <c:v>45148</c:v>
                </c:pt>
                <c:pt idx="116">
                  <c:v>45149</c:v>
                </c:pt>
                <c:pt idx="117">
                  <c:v>45150</c:v>
                </c:pt>
                <c:pt idx="118">
                  <c:v>45151</c:v>
                </c:pt>
                <c:pt idx="119">
                  <c:v>45152</c:v>
                </c:pt>
                <c:pt idx="120">
                  <c:v>45153</c:v>
                </c:pt>
                <c:pt idx="121">
                  <c:v>45154</c:v>
                </c:pt>
                <c:pt idx="122">
                  <c:v>45155</c:v>
                </c:pt>
                <c:pt idx="123">
                  <c:v>45156</c:v>
                </c:pt>
                <c:pt idx="124">
                  <c:v>45157</c:v>
                </c:pt>
                <c:pt idx="125">
                  <c:v>45158</c:v>
                </c:pt>
                <c:pt idx="126">
                  <c:v>45159</c:v>
                </c:pt>
                <c:pt idx="127">
                  <c:v>45160</c:v>
                </c:pt>
                <c:pt idx="128">
                  <c:v>45161</c:v>
                </c:pt>
                <c:pt idx="129">
                  <c:v>45162</c:v>
                </c:pt>
                <c:pt idx="130">
                  <c:v>45163</c:v>
                </c:pt>
                <c:pt idx="131">
                  <c:v>45164</c:v>
                </c:pt>
                <c:pt idx="132">
                  <c:v>45165</c:v>
                </c:pt>
                <c:pt idx="133">
                  <c:v>45166</c:v>
                </c:pt>
                <c:pt idx="134">
                  <c:v>45167</c:v>
                </c:pt>
                <c:pt idx="135">
                  <c:v>45168</c:v>
                </c:pt>
                <c:pt idx="136">
                  <c:v>45169</c:v>
                </c:pt>
                <c:pt idx="137">
                  <c:v>45170</c:v>
                </c:pt>
                <c:pt idx="138">
                  <c:v>45171</c:v>
                </c:pt>
                <c:pt idx="139">
                  <c:v>45172</c:v>
                </c:pt>
                <c:pt idx="140">
                  <c:v>45173</c:v>
                </c:pt>
                <c:pt idx="141">
                  <c:v>45174</c:v>
                </c:pt>
                <c:pt idx="142">
                  <c:v>45175</c:v>
                </c:pt>
                <c:pt idx="143">
                  <c:v>45176</c:v>
                </c:pt>
                <c:pt idx="144">
                  <c:v>45177</c:v>
                </c:pt>
                <c:pt idx="145">
                  <c:v>45178</c:v>
                </c:pt>
                <c:pt idx="146">
                  <c:v>45179</c:v>
                </c:pt>
                <c:pt idx="147">
                  <c:v>45180</c:v>
                </c:pt>
                <c:pt idx="148">
                  <c:v>45181</c:v>
                </c:pt>
                <c:pt idx="149">
                  <c:v>45182</c:v>
                </c:pt>
                <c:pt idx="150">
                  <c:v>45183</c:v>
                </c:pt>
                <c:pt idx="151">
                  <c:v>45184</c:v>
                </c:pt>
                <c:pt idx="152">
                  <c:v>45185</c:v>
                </c:pt>
                <c:pt idx="153">
                  <c:v>45186</c:v>
                </c:pt>
                <c:pt idx="154">
                  <c:v>45187</c:v>
                </c:pt>
                <c:pt idx="155">
                  <c:v>45188</c:v>
                </c:pt>
                <c:pt idx="156">
                  <c:v>45189</c:v>
                </c:pt>
                <c:pt idx="157">
                  <c:v>45190</c:v>
                </c:pt>
                <c:pt idx="158">
                  <c:v>45191</c:v>
                </c:pt>
                <c:pt idx="159">
                  <c:v>45192</c:v>
                </c:pt>
                <c:pt idx="160">
                  <c:v>45193</c:v>
                </c:pt>
                <c:pt idx="161">
                  <c:v>45194</c:v>
                </c:pt>
                <c:pt idx="162">
                  <c:v>45195</c:v>
                </c:pt>
                <c:pt idx="163">
                  <c:v>45196</c:v>
                </c:pt>
                <c:pt idx="164">
                  <c:v>45197</c:v>
                </c:pt>
                <c:pt idx="165">
                  <c:v>45198</c:v>
                </c:pt>
                <c:pt idx="166">
                  <c:v>45199</c:v>
                </c:pt>
                <c:pt idx="167">
                  <c:v>45200</c:v>
                </c:pt>
                <c:pt idx="168">
                  <c:v>45201</c:v>
                </c:pt>
                <c:pt idx="169">
                  <c:v>45202</c:v>
                </c:pt>
                <c:pt idx="170">
                  <c:v>45203</c:v>
                </c:pt>
                <c:pt idx="171">
                  <c:v>45204</c:v>
                </c:pt>
                <c:pt idx="172">
                  <c:v>45205</c:v>
                </c:pt>
                <c:pt idx="173">
                  <c:v>45206</c:v>
                </c:pt>
                <c:pt idx="174">
                  <c:v>45207</c:v>
                </c:pt>
                <c:pt idx="175">
                  <c:v>45208</c:v>
                </c:pt>
                <c:pt idx="176">
                  <c:v>45209</c:v>
                </c:pt>
                <c:pt idx="177">
                  <c:v>45210</c:v>
                </c:pt>
                <c:pt idx="178">
                  <c:v>45211</c:v>
                </c:pt>
                <c:pt idx="179">
                  <c:v>45212</c:v>
                </c:pt>
                <c:pt idx="180">
                  <c:v>45213</c:v>
                </c:pt>
                <c:pt idx="181">
                  <c:v>45214</c:v>
                </c:pt>
                <c:pt idx="182">
                  <c:v>45215</c:v>
                </c:pt>
                <c:pt idx="183">
                  <c:v>45216</c:v>
                </c:pt>
                <c:pt idx="184">
                  <c:v>45217</c:v>
                </c:pt>
                <c:pt idx="185">
                  <c:v>45218</c:v>
                </c:pt>
                <c:pt idx="186">
                  <c:v>45219</c:v>
                </c:pt>
                <c:pt idx="187">
                  <c:v>45220</c:v>
                </c:pt>
                <c:pt idx="188">
                  <c:v>45221</c:v>
                </c:pt>
                <c:pt idx="189">
                  <c:v>45222</c:v>
                </c:pt>
                <c:pt idx="190">
                  <c:v>45223</c:v>
                </c:pt>
                <c:pt idx="191">
                  <c:v>45224</c:v>
                </c:pt>
                <c:pt idx="192">
                  <c:v>45225</c:v>
                </c:pt>
                <c:pt idx="193">
                  <c:v>45226</c:v>
                </c:pt>
                <c:pt idx="194">
                  <c:v>45227</c:v>
                </c:pt>
                <c:pt idx="195">
                  <c:v>45228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</c:numCache>
            </c:numRef>
          </c:cat>
          <c:val>
            <c:numRef>
              <c:f>Sheet2!$F$2:$F$200</c:f>
              <c:numCache>
                <c:formatCode>0.000</c:formatCode>
                <c:ptCount val="199"/>
                <c:pt idx="0">
                  <c:v>16.95000076293945</c:v>
                </c:pt>
                <c:pt idx="1">
                  <c:v>16.829999923706051</c:v>
                </c:pt>
                <c:pt idx="2">
                  <c:v>16.45999908447266</c:v>
                </c:pt>
                <c:pt idx="3">
                  <c:v>17.170000076293949</c:v>
                </c:pt>
                <c:pt idx="4">
                  <c:v>16.889999389648441</c:v>
                </c:pt>
                <c:pt idx="5">
                  <c:v>18.760000228881839</c:v>
                </c:pt>
                <c:pt idx="6">
                  <c:v>18.840000152587891</c:v>
                </c:pt>
                <c:pt idx="7">
                  <c:v>17.030000686645511</c:v>
                </c:pt>
                <c:pt idx="8">
                  <c:v>16.079999923706051</c:v>
                </c:pt>
                <c:pt idx="9">
                  <c:v>17.780000686645511</c:v>
                </c:pt>
                <c:pt idx="10">
                  <c:v>18.340000152587891</c:v>
                </c:pt>
                <c:pt idx="11">
                  <c:v>20.090000152587891</c:v>
                </c:pt>
                <c:pt idx="12">
                  <c:v>16.979999542236332</c:v>
                </c:pt>
                <c:pt idx="13">
                  <c:v>17.70999908447266</c:v>
                </c:pt>
                <c:pt idx="14">
                  <c:v>16.940000534057621</c:v>
                </c:pt>
                <c:pt idx="15">
                  <c:v>16.930000305175781</c:v>
                </c:pt>
                <c:pt idx="16">
                  <c:v>17.120000839233398</c:v>
                </c:pt>
                <c:pt idx="17">
                  <c:v>17.989999771118161</c:v>
                </c:pt>
                <c:pt idx="18">
                  <c:v>16.870000839233398</c:v>
                </c:pt>
                <c:pt idx="19">
                  <c:v>16.04999923706055</c:v>
                </c:pt>
                <c:pt idx="20">
                  <c:v>17.20999908447266</c:v>
                </c:pt>
                <c:pt idx="21">
                  <c:v>18.530000686645511</c:v>
                </c:pt>
                <c:pt idx="22">
                  <c:v>20.030000686645511</c:v>
                </c:pt>
                <c:pt idx="23">
                  <c:v>19.139999389648441</c:v>
                </c:pt>
                <c:pt idx="24">
                  <c:v>17.45999908447266</c:v>
                </c:pt>
                <c:pt idx="25">
                  <c:v>17.940000534057621</c:v>
                </c:pt>
                <c:pt idx="26">
                  <c:v>15.64999961853027</c:v>
                </c:pt>
                <c:pt idx="27">
                  <c:v>14.72999954223633</c:v>
                </c:pt>
                <c:pt idx="28">
                  <c:v>13.960000038146971</c:v>
                </c:pt>
                <c:pt idx="29">
                  <c:v>13.939999580383301</c:v>
                </c:pt>
                <c:pt idx="30">
                  <c:v>13.64999961853027</c:v>
                </c:pt>
                <c:pt idx="31">
                  <c:v>15.010000228881839</c:v>
                </c:pt>
                <c:pt idx="32">
                  <c:v>14.60999965667725</c:v>
                </c:pt>
                <c:pt idx="33">
                  <c:v>13.88000011444092</c:v>
                </c:pt>
                <c:pt idx="34">
                  <c:v>14.5</c:v>
                </c:pt>
                <c:pt idx="35">
                  <c:v>13.88000011444092</c:v>
                </c:pt>
                <c:pt idx="36">
                  <c:v>13.19999980926514</c:v>
                </c:pt>
                <c:pt idx="37">
                  <c:v>12.909999847412109</c:v>
                </c:pt>
                <c:pt idx="38">
                  <c:v>13.439999580383301</c:v>
                </c:pt>
                <c:pt idx="39">
                  <c:v>14.25</c:v>
                </c:pt>
                <c:pt idx="40">
                  <c:v>13.739999771118161</c:v>
                </c:pt>
                <c:pt idx="41">
                  <c:v>13.430000305175779</c:v>
                </c:pt>
                <c:pt idx="42">
                  <c:v>13.539999961853029</c:v>
                </c:pt>
                <c:pt idx="43">
                  <c:v>13.569999694824221</c:v>
                </c:pt>
                <c:pt idx="44">
                  <c:v>14.180000305175779</c:v>
                </c:pt>
                <c:pt idx="45">
                  <c:v>15.439999580383301</c:v>
                </c:pt>
                <c:pt idx="46">
                  <c:v>15.069999694824221</c:v>
                </c:pt>
                <c:pt idx="47">
                  <c:v>14.840000152587891</c:v>
                </c:pt>
                <c:pt idx="48">
                  <c:v>13.539999961853029</c:v>
                </c:pt>
                <c:pt idx="49">
                  <c:v>13.60999965667725</c:v>
                </c:pt>
                <c:pt idx="50">
                  <c:v>13.47999954223633</c:v>
                </c:pt>
                <c:pt idx="51">
                  <c:v>13.30000019073486</c:v>
                </c:pt>
                <c:pt idx="52">
                  <c:v>13.760000228881839</c:v>
                </c:pt>
                <c:pt idx="53">
                  <c:v>13.989999771118161</c:v>
                </c:pt>
                <c:pt idx="54">
                  <c:v>13.909999847412109</c:v>
                </c:pt>
                <c:pt idx="55">
                  <c:v>13.85999965667725</c:v>
                </c:pt>
                <c:pt idx="56">
                  <c:v>13.189999580383301</c:v>
                </c:pt>
                <c:pt idx="57">
                  <c:v>14.409999847412109</c:v>
                </c:pt>
                <c:pt idx="58">
                  <c:v>13.63000011444092</c:v>
                </c:pt>
                <c:pt idx="59">
                  <c:v>13.930000305175779</c:v>
                </c:pt>
                <c:pt idx="60">
                  <c:v>16.090000152587891</c:v>
                </c:pt>
                <c:pt idx="61">
                  <c:v>15.920000076293951</c:v>
                </c:pt>
                <c:pt idx="62">
                  <c:v>15.77000045776367</c:v>
                </c:pt>
                <c:pt idx="63">
                  <c:v>15.989999771118161</c:v>
                </c:pt>
                <c:pt idx="64">
                  <c:v>15.960000038146971</c:v>
                </c:pt>
                <c:pt idx="65">
                  <c:v>15.85000038146973</c:v>
                </c:pt>
                <c:pt idx="66">
                  <c:v>14.819999694824221</c:v>
                </c:pt>
                <c:pt idx="67">
                  <c:v>16.45999908447266</c:v>
                </c:pt>
                <c:pt idx="68">
                  <c:v>16.780000686645511</c:v>
                </c:pt>
                <c:pt idx="69">
                  <c:v>17.889999389648441</c:v>
                </c:pt>
                <c:pt idx="70">
                  <c:v>17.129999160766602</c:v>
                </c:pt>
                <c:pt idx="71">
                  <c:v>16.969999313354489</c:v>
                </c:pt>
                <c:pt idx="72">
                  <c:v>15.97999954223633</c:v>
                </c:pt>
                <c:pt idx="73">
                  <c:v>17.20000076293945</c:v>
                </c:pt>
                <c:pt idx="74">
                  <c:v>15.079999923706049</c:v>
                </c:pt>
                <c:pt idx="75">
                  <c:v>14.44999980926514</c:v>
                </c:pt>
                <c:pt idx="76">
                  <c:v>13.88000011444092</c:v>
                </c:pt>
                <c:pt idx="77">
                  <c:v>13.569999694824221</c:v>
                </c:pt>
                <c:pt idx="78">
                  <c:v>14.010000228881839</c:v>
                </c:pt>
                <c:pt idx="79">
                  <c:v>14.44999980926514</c:v>
                </c:pt>
                <c:pt idx="80">
                  <c:v>14.39999961853027</c:v>
                </c:pt>
                <c:pt idx="81">
                  <c:v>13.80000019073486</c:v>
                </c:pt>
                <c:pt idx="82">
                  <c:v>14.22999954223633</c:v>
                </c:pt>
                <c:pt idx="83">
                  <c:v>13.47999954223633</c:v>
                </c:pt>
                <c:pt idx="84">
                  <c:v>12.819999694824221</c:v>
                </c:pt>
                <c:pt idx="85">
                  <c:v>14</c:v>
                </c:pt>
                <c:pt idx="86">
                  <c:v>14.10999965667725</c:v>
                </c:pt>
                <c:pt idx="87">
                  <c:v>15.14000034332275</c:v>
                </c:pt>
                <c:pt idx="88">
                  <c:v>17.54000091552734</c:v>
                </c:pt>
                <c:pt idx="89">
                  <c:v>16.89999961853027</c:v>
                </c:pt>
                <c:pt idx="90">
                  <c:v>18.940000534057621</c:v>
                </c:pt>
                <c:pt idx="91">
                  <c:v>18.219999313354489</c:v>
                </c:pt>
                <c:pt idx="92">
                  <c:v>17.340000152587891</c:v>
                </c:pt>
                <c:pt idx="93">
                  <c:v>17.610000610351559</c:v>
                </c:pt>
                <c:pt idx="94">
                  <c:v>19.780000686645511</c:v>
                </c:pt>
                <c:pt idx="95">
                  <c:v>18.579999923706051</c:v>
                </c:pt>
                <c:pt idx="96">
                  <c:v>18.489999771118161</c:v>
                </c:pt>
                <c:pt idx="97">
                  <c:v>17.70000076293945</c:v>
                </c:pt>
                <c:pt idx="98">
                  <c:v>17.030000686645511</c:v>
                </c:pt>
                <c:pt idx="99">
                  <c:v>16.090000152587891</c:v>
                </c:pt>
                <c:pt idx="100">
                  <c:v>16.690000534057621</c:v>
                </c:pt>
                <c:pt idx="101">
                  <c:v>17.20999908447266</c:v>
                </c:pt>
                <c:pt idx="102">
                  <c:v>17.879999160766602</c:v>
                </c:pt>
                <c:pt idx="103">
                  <c:v>19.219999313354489</c:v>
                </c:pt>
                <c:pt idx="104">
                  <c:v>21.39999961853027</c:v>
                </c:pt>
                <c:pt idx="105">
                  <c:v>20.370000839233398</c:v>
                </c:pt>
                <c:pt idx="106">
                  <c:v>18.969999313354489</c:v>
                </c:pt>
                <c:pt idx="107">
                  <c:v>20.190000534057621</c:v>
                </c:pt>
                <c:pt idx="108">
                  <c:v>20.680000305175781</c:v>
                </c:pt>
                <c:pt idx="109">
                  <c:v>19.75</c:v>
                </c:pt>
                <c:pt idx="110">
                  <c:v>18.139999389648441</c:v>
                </c:pt>
                <c:pt idx="111">
                  <c:v>16.870000839233398</c:v>
                </c:pt>
                <c:pt idx="112">
                  <c:v>15.659999847412109</c:v>
                </c:pt>
                <c:pt idx="113">
                  <c:v>14.89000034332275</c:v>
                </c:pt>
                <c:pt idx="114">
                  <c:v>14.810000419616699</c:v>
                </c:pt>
                <c:pt idx="115">
                  <c:v>14.44999980926514</c:v>
                </c:pt>
                <c:pt idx="116">
                  <c:v>15.289999961853029</c:v>
                </c:pt>
                <c:pt idx="117">
                  <c:v>14.760000228881839</c:v>
                </c:pt>
                <c:pt idx="118">
                  <c:v>14.159999847412109</c:v>
                </c:pt>
                <c:pt idx="119">
                  <c:v>14.180000305175779</c:v>
                </c:pt>
                <c:pt idx="120">
                  <c:v>14.319999694824221</c:v>
                </c:pt>
                <c:pt idx="121">
                  <c:v>13.409999847412109</c:v>
                </c:pt>
                <c:pt idx="122">
                  <c:v>13.35000038146973</c:v>
                </c:pt>
                <c:pt idx="123">
                  <c:v>12.85000038146973</c:v>
                </c:pt>
                <c:pt idx="124">
                  <c:v>12.689999580383301</c:v>
                </c:pt>
                <c:pt idx="125">
                  <c:v>12.689999580383301</c:v>
                </c:pt>
                <c:pt idx="126">
                  <c:v>12.97999954223633</c:v>
                </c:pt>
                <c:pt idx="127">
                  <c:v>12.920000076293951</c:v>
                </c:pt>
                <c:pt idx="128">
                  <c:v>13.079999923706049</c:v>
                </c:pt>
                <c:pt idx="129">
                  <c:v>12.85000038146973</c:v>
                </c:pt>
                <c:pt idx="130">
                  <c:v>12.97000026702881</c:v>
                </c:pt>
                <c:pt idx="131">
                  <c:v>13.060000419616699</c:v>
                </c:pt>
                <c:pt idx="132">
                  <c:v>12.63000011444092</c:v>
                </c:pt>
                <c:pt idx="133">
                  <c:v>12.069999694824221</c:v>
                </c:pt>
                <c:pt idx="134">
                  <c:v>12.189999580383301</c:v>
                </c:pt>
                <c:pt idx="135">
                  <c:v>12.47999954223633</c:v>
                </c:pt>
                <c:pt idx="136">
                  <c:v>12.560000419616699</c:v>
                </c:pt>
                <c:pt idx="137">
                  <c:v>12.52999973297119</c:v>
                </c:pt>
                <c:pt idx="138">
                  <c:v>13.670000076293951</c:v>
                </c:pt>
                <c:pt idx="139">
                  <c:v>13.64999961853027</c:v>
                </c:pt>
                <c:pt idx="140">
                  <c:v>12.989999771118161</c:v>
                </c:pt>
                <c:pt idx="141">
                  <c:v>12.430000305175779</c:v>
                </c:pt>
                <c:pt idx="142">
                  <c:v>12.47000026702881</c:v>
                </c:pt>
                <c:pt idx="143">
                  <c:v>13.19999980926514</c:v>
                </c:pt>
                <c:pt idx="144">
                  <c:v>14.039999961853029</c:v>
                </c:pt>
                <c:pt idx="145">
                  <c:v>14.13000011444092</c:v>
                </c:pt>
                <c:pt idx="146">
                  <c:v>13.079999923706049</c:v>
                </c:pt>
                <c:pt idx="147">
                  <c:v>12.760000228881839</c:v>
                </c:pt>
                <c:pt idx="148">
                  <c:v>12.689999580383301</c:v>
                </c:pt>
                <c:pt idx="149">
                  <c:v>12.439999580383301</c:v>
                </c:pt>
                <c:pt idx="150">
                  <c:v>13.840000152587891</c:v>
                </c:pt>
                <c:pt idx="151">
                  <c:v>14.789999961853029</c:v>
                </c:pt>
                <c:pt idx="152">
                  <c:v>14.13000011444092</c:v>
                </c:pt>
                <c:pt idx="153">
                  <c:v>13.189999580383301</c:v>
                </c:pt>
                <c:pt idx="154">
                  <c:v>12.55000019073486</c:v>
                </c:pt>
                <c:pt idx="155">
                  <c:v>13.14000034332275</c:v>
                </c:pt>
                <c:pt idx="156">
                  <c:v>13.44999980926514</c:v>
                </c:pt>
                <c:pt idx="157">
                  <c:v>13.60000038146973</c:v>
                </c:pt>
                <c:pt idx="158">
                  <c:v>13.310000419616699</c:v>
                </c:pt>
                <c:pt idx="159">
                  <c:v>14.35000038146973</c:v>
                </c:pt>
                <c:pt idx="160">
                  <c:v>13.88000011444092</c:v>
                </c:pt>
                <c:pt idx="161">
                  <c:v>13.670000076293951</c:v>
                </c:pt>
                <c:pt idx="162">
                  <c:v>13.060000419616699</c:v>
                </c:pt>
                <c:pt idx="163">
                  <c:v>12.829999923706049</c:v>
                </c:pt>
                <c:pt idx="164">
                  <c:v>12.789999961853029</c:v>
                </c:pt>
                <c:pt idx="165">
                  <c:v>13.930000305175779</c:v>
                </c:pt>
                <c:pt idx="166">
                  <c:v>15.85000038146973</c:v>
                </c:pt>
                <c:pt idx="167">
                  <c:v>14.38000011444092</c:v>
                </c:pt>
                <c:pt idx="168">
                  <c:v>14.010000228881839</c:v>
                </c:pt>
                <c:pt idx="169">
                  <c:v>15.420000076293951</c:v>
                </c:pt>
                <c:pt idx="170">
                  <c:v>15.340000152587891</c:v>
                </c:pt>
                <c:pt idx="171">
                  <c:v>14.539999961853029</c:v>
                </c:pt>
                <c:pt idx="172">
                  <c:v>13.739999771118161</c:v>
                </c:pt>
                <c:pt idx="173">
                  <c:v>13.430000305175779</c:v>
                </c:pt>
                <c:pt idx="174">
                  <c:v>13.840000152587891</c:v>
                </c:pt>
                <c:pt idx="175">
                  <c:v>13.39999961853027</c:v>
                </c:pt>
                <c:pt idx="176">
                  <c:v>13.489999771118161</c:v>
                </c:pt>
                <c:pt idx="177">
                  <c:v>14.460000038146971</c:v>
                </c:pt>
                <c:pt idx="178">
                  <c:v>14.5</c:v>
                </c:pt>
                <c:pt idx="179">
                  <c:v>14.439999580383301</c:v>
                </c:pt>
                <c:pt idx="180">
                  <c:v>15.22000026702881</c:v>
                </c:pt>
                <c:pt idx="181">
                  <c:v>13.840000152587891</c:v>
                </c:pt>
                <c:pt idx="182">
                  <c:v>13.75</c:v>
                </c:pt>
                <c:pt idx="183">
                  <c:v>14.39999961853027</c:v>
                </c:pt>
                <c:pt idx="184">
                  <c:v>14.329999923706049</c:v>
                </c:pt>
                <c:pt idx="185">
                  <c:v>13.819999694824221</c:v>
                </c:pt>
                <c:pt idx="186">
                  <c:v>13.039999961853029</c:v>
                </c:pt>
                <c:pt idx="187">
                  <c:v>12.920000076293951</c:v>
                </c:pt>
                <c:pt idx="188">
                  <c:v>13.189999580383301</c:v>
                </c:pt>
                <c:pt idx="189">
                  <c:v>13.239999771118161</c:v>
                </c:pt>
                <c:pt idx="190">
                  <c:v>12.77999973297119</c:v>
                </c:pt>
                <c:pt idx="191">
                  <c:v>13.010000228881839</c:v>
                </c:pt>
                <c:pt idx="192">
                  <c:v>14.60999965667725</c:v>
                </c:pt>
                <c:pt idx="193">
                  <c:v>14.329999923706049</c:v>
                </c:pt>
                <c:pt idx="194">
                  <c:v>16.35000038146973</c:v>
                </c:pt>
                <c:pt idx="195">
                  <c:v>15.189999580383301</c:v>
                </c:pt>
                <c:pt idx="196">
                  <c:v>14.97999954223633</c:v>
                </c:pt>
                <c:pt idx="197">
                  <c:v>15.80000019073486</c:v>
                </c:pt>
                <c:pt idx="198">
                  <c:v>14.909999847412109</c:v>
                </c:pt>
              </c:numCache>
            </c:numRef>
          </c:val>
        </c:ser>
        <c:marker val="1"/>
        <c:axId val="166805888"/>
        <c:axId val="166800000"/>
      </c:lineChart>
      <c:dateAx>
        <c:axId val="166649216"/>
        <c:scaling>
          <c:orientation val="minMax"/>
        </c:scaling>
        <c:axPos val="b"/>
        <c:numFmt formatCode="m/d/yyyy" sourceLinked="1"/>
        <c:majorTickMark val="none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166798464"/>
        <c:crosses val="autoZero"/>
        <c:auto val="1"/>
        <c:lblOffset val="100"/>
      </c:dateAx>
      <c:valAx>
        <c:axId val="16679846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6649216"/>
        <c:crosses val="autoZero"/>
        <c:crossBetween val="between"/>
      </c:valAx>
      <c:valAx>
        <c:axId val="166800000"/>
        <c:scaling>
          <c:orientation val="minMax"/>
        </c:scaling>
        <c:axPos val="r"/>
        <c:numFmt formatCode="0.000" sourceLinked="1"/>
        <c:tickLblPos val="nextTo"/>
        <c:crossAx val="166805888"/>
        <c:crosses val="max"/>
        <c:crossBetween val="between"/>
      </c:valAx>
      <c:dateAx>
        <c:axId val="166805888"/>
        <c:scaling>
          <c:orientation val="minMax"/>
        </c:scaling>
        <c:delete val="1"/>
        <c:axPos val="b"/>
        <c:numFmt formatCode="m/d/yyyy" sourceLinked="1"/>
        <c:tickLblPos val="nextTo"/>
        <c:crossAx val="166800000"/>
        <c:crosses val="autoZero"/>
        <c:auto val="1"/>
        <c:lblOffset val="100"/>
      </c:date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598842</xdr:colOff>
      <xdr:row>170</xdr:row>
      <xdr:rowOff>62754</xdr:rowOff>
    </xdr:from>
    <xdr:to>
      <xdr:col>26</xdr:col>
      <xdr:colOff>412376</xdr:colOff>
      <xdr:row>210</xdr:row>
      <xdr:rowOff>25102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1277083</xdr:colOff>
      <xdr:row>157</xdr:row>
      <xdr:rowOff>147917</xdr:rowOff>
    </xdr:from>
    <xdr:to>
      <xdr:col>19</xdr:col>
      <xdr:colOff>337455</xdr:colOff>
      <xdr:row>200</xdr:row>
      <xdr:rowOff>130627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4"/>
  <sheetViews>
    <sheetView tabSelected="1" topLeftCell="A179" zoomScale="85" zoomScaleNormal="85" workbookViewId="0">
      <selection activeCell="S181" sqref="S181"/>
    </sheetView>
  </sheetViews>
  <sheetFormatPr defaultRowHeight="14.4"/>
  <cols>
    <col min="1" max="1" width="26.77734375" customWidth="1"/>
    <col min="2" max="5" width="14.21875" customWidth="1"/>
    <col min="6" max="6" width="16.6640625" customWidth="1"/>
    <col min="7" max="7" width="16" customWidth="1"/>
  </cols>
  <sheetData>
    <row r="1" spans="1:7">
      <c r="A1" s="1" t="s">
        <v>0</v>
      </c>
      <c r="B1" s="1" t="s">
        <v>1</v>
      </c>
      <c r="C1" s="3" t="s">
        <v>3</v>
      </c>
      <c r="D1" s="3" t="s">
        <v>10</v>
      </c>
      <c r="E1" s="3" t="s">
        <v>9</v>
      </c>
      <c r="F1" s="8" t="s">
        <v>2</v>
      </c>
      <c r="G1" s="8" t="s">
        <v>4</v>
      </c>
    </row>
    <row r="2" spans="1:7">
      <c r="A2" s="2">
        <v>45033</v>
      </c>
      <c r="B2">
        <v>18.05125</v>
      </c>
      <c r="C2">
        <f>B2-18</f>
        <v>5.1249999999999574E-2</v>
      </c>
      <c r="D2" s="4">
        <f t="shared" ref="D2:D33" si="0">IF(C2&gt;0,1,IF(C2&lt;0,-1,0))</f>
        <v>1</v>
      </c>
      <c r="E2" s="5">
        <f t="shared" ref="E2:E33" si="1">C2/B2</f>
        <v>2.8391385638113467E-3</v>
      </c>
      <c r="F2" s="7">
        <v>16.95000076293945</v>
      </c>
      <c r="G2" s="7">
        <f t="shared" ref="G2:G33" si="2">F2/$F$202*100</f>
        <v>112.56971366950653</v>
      </c>
    </row>
    <row r="3" spans="1:7">
      <c r="A3" s="2">
        <v>45034</v>
      </c>
      <c r="B3">
        <v>18.045649999999998</v>
      </c>
      <c r="C3">
        <f t="shared" ref="C3:C34" si="3">B3-B2</f>
        <v>-5.6000000000011596E-3</v>
      </c>
      <c r="D3" s="4">
        <f t="shared" si="0"/>
        <v>-1</v>
      </c>
      <c r="E3" s="5">
        <f t="shared" si="1"/>
        <v>-3.1032409472649418E-4</v>
      </c>
      <c r="F3" s="7">
        <v>16.829999923706051</v>
      </c>
      <c r="G3" s="7">
        <f t="shared" si="2"/>
        <v>111.77275440669989</v>
      </c>
    </row>
    <row r="4" spans="1:7">
      <c r="A4" s="2">
        <v>45035</v>
      </c>
      <c r="B4">
        <v>18.000599999999999</v>
      </c>
      <c r="C4">
        <f t="shared" si="3"/>
        <v>-4.5049999999999812E-2</v>
      </c>
      <c r="D4" s="4">
        <f t="shared" si="0"/>
        <v>-1</v>
      </c>
      <c r="E4" s="5">
        <f t="shared" si="1"/>
        <v>-2.502694354632613E-3</v>
      </c>
      <c r="F4" s="7">
        <v>16.45999908447266</v>
      </c>
      <c r="G4" s="7">
        <f t="shared" si="2"/>
        <v>109.31547495801408</v>
      </c>
    </row>
    <row r="5" spans="1:7">
      <c r="A5" s="2">
        <v>45036</v>
      </c>
      <c r="B5">
        <v>17.995660000000001</v>
      </c>
      <c r="C5">
        <f t="shared" si="3"/>
        <v>-4.939999999997724E-3</v>
      </c>
      <c r="D5" s="4">
        <f t="shared" si="0"/>
        <v>-1</v>
      </c>
      <c r="E5" s="5">
        <f t="shared" si="1"/>
        <v>-2.7451063200781322E-4</v>
      </c>
      <c r="F5" s="7">
        <v>17.170000076293949</v>
      </c>
      <c r="G5" s="7">
        <f t="shared" si="2"/>
        <v>114.0307908728747</v>
      </c>
    </row>
    <row r="6" spans="1:7">
      <c r="A6" s="2">
        <v>45040</v>
      </c>
      <c r="B6">
        <v>18.07375</v>
      </c>
      <c r="C6">
        <f t="shared" si="3"/>
        <v>7.8089999999999549E-2</v>
      </c>
      <c r="D6" s="4">
        <f t="shared" si="0"/>
        <v>1</v>
      </c>
      <c r="E6" s="5">
        <f t="shared" si="1"/>
        <v>4.3206307490144293E-3</v>
      </c>
      <c r="F6" s="7">
        <v>16.889999389648441</v>
      </c>
      <c r="G6" s="7">
        <f t="shared" si="2"/>
        <v>112.17122770448438</v>
      </c>
    </row>
    <row r="7" spans="1:7">
      <c r="A7" s="2">
        <v>45041</v>
      </c>
      <c r="B7">
        <v>18.152049999999999</v>
      </c>
      <c r="C7">
        <f t="shared" si="3"/>
        <v>7.8299999999998704E-2</v>
      </c>
      <c r="D7" s="4">
        <f t="shared" si="0"/>
        <v>1</v>
      </c>
      <c r="E7" s="5">
        <f t="shared" si="1"/>
        <v>4.3135623800065947E-3</v>
      </c>
      <c r="F7" s="7">
        <v>18.760000228881839</v>
      </c>
      <c r="G7" s="7">
        <f t="shared" si="2"/>
        <v>124.59042826844559</v>
      </c>
    </row>
    <row r="8" spans="1:7">
      <c r="A8" s="2">
        <v>45042</v>
      </c>
      <c r="B8">
        <v>18.033149999999999</v>
      </c>
      <c r="C8">
        <f t="shared" si="3"/>
        <v>-0.11890000000000001</v>
      </c>
      <c r="D8" s="4">
        <f t="shared" si="0"/>
        <v>-1</v>
      </c>
      <c r="E8" s="5">
        <f t="shared" si="1"/>
        <v>-6.593412687189981E-3</v>
      </c>
      <c r="F8" s="7">
        <v>18.840000152587891</v>
      </c>
      <c r="G8" s="7">
        <f t="shared" si="2"/>
        <v>125.1217302212374</v>
      </c>
    </row>
    <row r="9" spans="1:7">
      <c r="A9" s="2">
        <v>45043</v>
      </c>
      <c r="B9">
        <v>17.997900000000001</v>
      </c>
      <c r="C9">
        <f t="shared" si="3"/>
        <v>-3.5249999999997783E-2</v>
      </c>
      <c r="D9" s="4">
        <f t="shared" si="0"/>
        <v>-1</v>
      </c>
      <c r="E9" s="5">
        <f t="shared" si="1"/>
        <v>-1.958561832213635E-3</v>
      </c>
      <c r="F9" s="7">
        <v>17.030000686645511</v>
      </c>
      <c r="G9" s="7">
        <f t="shared" si="2"/>
        <v>113.10101562229842</v>
      </c>
    </row>
    <row r="10" spans="1:7">
      <c r="A10" s="2">
        <v>45047</v>
      </c>
      <c r="B10">
        <v>17.979849999999999</v>
      </c>
      <c r="C10">
        <f t="shared" si="3"/>
        <v>-1.8050000000002342E-2</v>
      </c>
      <c r="D10" s="4">
        <f t="shared" si="0"/>
        <v>-1</v>
      </c>
      <c r="E10" s="5">
        <f t="shared" si="1"/>
        <v>-1.0039015898354181E-3</v>
      </c>
      <c r="F10" s="7">
        <v>16.079999923706051</v>
      </c>
      <c r="G10" s="7">
        <f t="shared" si="2"/>
        <v>106.79179384906222</v>
      </c>
    </row>
    <row r="11" spans="1:7">
      <c r="A11" s="2">
        <v>45048</v>
      </c>
      <c r="B11">
        <v>17.930599999999998</v>
      </c>
      <c r="C11">
        <f t="shared" si="3"/>
        <v>-4.9250000000000682E-2</v>
      </c>
      <c r="D11" s="4">
        <f t="shared" si="0"/>
        <v>-1</v>
      </c>
      <c r="E11" s="5">
        <f t="shared" si="1"/>
        <v>-2.7467011700668515E-3</v>
      </c>
      <c r="F11" s="7">
        <v>17.780000686645511</v>
      </c>
      <c r="G11" s="7">
        <f t="shared" si="2"/>
        <v>118.08197617993608</v>
      </c>
    </row>
    <row r="12" spans="1:7">
      <c r="A12" s="2">
        <v>45049</v>
      </c>
      <c r="B12">
        <v>17.907</v>
      </c>
      <c r="C12">
        <f t="shared" si="3"/>
        <v>-2.3599999999998289E-2</v>
      </c>
      <c r="D12" s="4">
        <f t="shared" si="0"/>
        <v>-1</v>
      </c>
      <c r="E12" s="5">
        <f t="shared" si="1"/>
        <v>-1.3179203663370911E-3</v>
      </c>
      <c r="F12" s="7">
        <v>18.340000152587891</v>
      </c>
      <c r="G12" s="7">
        <f t="shared" si="2"/>
        <v>121.80108984947896</v>
      </c>
    </row>
    <row r="13" spans="1:7">
      <c r="A13" s="2">
        <v>45050</v>
      </c>
      <c r="B13">
        <v>17.753450000000001</v>
      </c>
      <c r="C13">
        <f t="shared" si="3"/>
        <v>-0.15354999999999919</v>
      </c>
      <c r="D13" s="4">
        <f t="shared" si="0"/>
        <v>-1</v>
      </c>
      <c r="E13" s="5">
        <f t="shared" si="1"/>
        <v>-8.6490231476135156E-3</v>
      </c>
      <c r="F13" s="7">
        <v>20.090000152587891</v>
      </c>
      <c r="G13" s="7">
        <f t="shared" si="2"/>
        <v>133.42333115063354</v>
      </c>
    </row>
    <row r="14" spans="1:7">
      <c r="A14" s="2">
        <v>45054</v>
      </c>
      <c r="B14">
        <v>17.773350000000001</v>
      </c>
      <c r="C14">
        <f t="shared" si="3"/>
        <v>1.9899999999999807E-2</v>
      </c>
      <c r="D14" s="4">
        <f t="shared" si="0"/>
        <v>1</v>
      </c>
      <c r="E14" s="5">
        <f t="shared" si="1"/>
        <v>1.1196538637904393E-3</v>
      </c>
      <c r="F14" s="7">
        <v>16.979999542236332</v>
      </c>
      <c r="G14" s="7">
        <f t="shared" si="2"/>
        <v>112.76894398477992</v>
      </c>
    </row>
    <row r="15" spans="1:7">
      <c r="A15" s="2">
        <v>45055</v>
      </c>
      <c r="B15">
        <v>17.551400000000001</v>
      </c>
      <c r="C15">
        <f t="shared" si="3"/>
        <v>-0.22194999999999965</v>
      </c>
      <c r="D15" s="4">
        <f t="shared" si="0"/>
        <v>-1</v>
      </c>
      <c r="E15" s="5">
        <f t="shared" si="1"/>
        <v>-1.2645714871748101E-2</v>
      </c>
      <c r="F15" s="7">
        <v>17.70999908447266</v>
      </c>
      <c r="G15" s="7">
        <f t="shared" si="2"/>
        <v>117.61707588741019</v>
      </c>
    </row>
    <row r="16" spans="1:7">
      <c r="A16" s="2">
        <v>45056</v>
      </c>
      <c r="B16">
        <v>17.5793</v>
      </c>
      <c r="C16">
        <f t="shared" si="3"/>
        <v>2.7899999999998926E-2</v>
      </c>
      <c r="D16" s="4">
        <f t="shared" si="0"/>
        <v>1</v>
      </c>
      <c r="E16" s="5">
        <f t="shared" si="1"/>
        <v>1.5870939115891376E-3</v>
      </c>
      <c r="F16" s="7">
        <v>16.940000534057621</v>
      </c>
      <c r="G16" s="7">
        <f t="shared" si="2"/>
        <v>112.50329934200288</v>
      </c>
    </row>
    <row r="17" spans="1:7">
      <c r="A17" s="2">
        <v>45057</v>
      </c>
      <c r="B17">
        <v>17.601949999999999</v>
      </c>
      <c r="C17">
        <f t="shared" si="3"/>
        <v>2.2649999999998727E-2</v>
      </c>
      <c r="D17" s="4">
        <f t="shared" si="0"/>
        <v>1</v>
      </c>
      <c r="E17" s="5">
        <f t="shared" si="1"/>
        <v>1.2867892477821338E-3</v>
      </c>
      <c r="F17" s="7">
        <v>16.930000305175781</v>
      </c>
      <c r="G17" s="7">
        <f t="shared" si="2"/>
        <v>112.43688501449915</v>
      </c>
    </row>
    <row r="18" spans="1:7">
      <c r="A18" s="2">
        <v>45061</v>
      </c>
      <c r="B18">
        <v>17.50675</v>
      </c>
      <c r="C18">
        <f t="shared" si="3"/>
        <v>-9.5199999999998397E-2</v>
      </c>
      <c r="D18" s="4">
        <f t="shared" si="0"/>
        <v>-1</v>
      </c>
      <c r="E18" s="5">
        <f t="shared" si="1"/>
        <v>-5.4379025233123454E-3</v>
      </c>
      <c r="F18" s="7">
        <v>17.120000839233398</v>
      </c>
      <c r="G18" s="7">
        <f t="shared" si="2"/>
        <v>113.69873190259392</v>
      </c>
    </row>
    <row r="19" spans="1:7">
      <c r="A19" s="2">
        <v>45062</v>
      </c>
      <c r="B19">
        <v>17.5991</v>
      </c>
      <c r="C19">
        <f t="shared" si="3"/>
        <v>9.234999999999971E-2</v>
      </c>
      <c r="D19" s="4">
        <f t="shared" si="0"/>
        <v>1</v>
      </c>
      <c r="E19" s="5">
        <f t="shared" si="1"/>
        <v>5.2474274252660479E-3</v>
      </c>
      <c r="F19" s="7">
        <v>17.989999771118161</v>
      </c>
      <c r="G19" s="7">
        <f t="shared" si="2"/>
        <v>119.47663905580046</v>
      </c>
    </row>
    <row r="20" spans="1:7">
      <c r="A20" s="2">
        <v>45063</v>
      </c>
      <c r="B20">
        <v>17.719349999999999</v>
      </c>
      <c r="C20">
        <f t="shared" si="3"/>
        <v>0.12024999999999864</v>
      </c>
      <c r="D20" s="4">
        <f t="shared" si="0"/>
        <v>1</v>
      </c>
      <c r="E20" s="5">
        <f t="shared" si="1"/>
        <v>6.7863663170487998E-3</v>
      </c>
      <c r="F20" s="7">
        <v>16.870000839233398</v>
      </c>
      <c r="G20" s="7">
        <f t="shared" si="2"/>
        <v>112.03841171671472</v>
      </c>
    </row>
    <row r="21" spans="1:7">
      <c r="A21" s="2">
        <v>45064</v>
      </c>
      <c r="B21">
        <v>17.7849</v>
      </c>
      <c r="C21">
        <f t="shared" si="3"/>
        <v>6.5550000000001774E-2</v>
      </c>
      <c r="D21" s="4">
        <f t="shared" si="0"/>
        <v>1</v>
      </c>
      <c r="E21" s="5">
        <f t="shared" si="1"/>
        <v>3.6857109120659532E-3</v>
      </c>
      <c r="F21" s="7">
        <v>16.04999923706055</v>
      </c>
      <c r="G21" s="7">
        <f t="shared" si="2"/>
        <v>106.59255086655118</v>
      </c>
    </row>
    <row r="22" spans="1:7">
      <c r="A22" s="2">
        <v>45068</v>
      </c>
      <c r="B22">
        <v>17.974969999999999</v>
      </c>
      <c r="C22">
        <f t="shared" si="3"/>
        <v>0.19006999999999863</v>
      </c>
      <c r="D22" s="4">
        <f t="shared" si="0"/>
        <v>1</v>
      </c>
      <c r="E22" s="5">
        <f t="shared" si="1"/>
        <v>1.0574148385226715E-2</v>
      </c>
      <c r="F22" s="7">
        <v>17.20999908447266</v>
      </c>
      <c r="G22" s="7">
        <f t="shared" si="2"/>
        <v>114.29643551565174</v>
      </c>
    </row>
    <row r="23" spans="1:7">
      <c r="A23" s="2">
        <v>45069</v>
      </c>
      <c r="B23">
        <v>17.800999999999998</v>
      </c>
      <c r="C23">
        <f t="shared" si="3"/>
        <v>-0.17397000000000062</v>
      </c>
      <c r="D23" s="4">
        <f t="shared" si="0"/>
        <v>-1</v>
      </c>
      <c r="E23" s="5">
        <f t="shared" si="1"/>
        <v>-9.7730464580641895E-3</v>
      </c>
      <c r="F23" s="7">
        <v>18.530000686645511</v>
      </c>
      <c r="G23" s="7">
        <f t="shared" si="2"/>
        <v>123.06293673757376</v>
      </c>
    </row>
    <row r="24" spans="1:7">
      <c r="A24" s="2">
        <v>45070</v>
      </c>
      <c r="B24">
        <v>17.854800000000001</v>
      </c>
      <c r="C24">
        <f t="shared" si="3"/>
        <v>5.3800000000002512E-2</v>
      </c>
      <c r="D24" s="4">
        <f t="shared" si="0"/>
        <v>1</v>
      </c>
      <c r="E24" s="5">
        <f t="shared" si="1"/>
        <v>3.0131953312275976E-3</v>
      </c>
      <c r="F24" s="7">
        <v>20.030000686645511</v>
      </c>
      <c r="G24" s="7">
        <f t="shared" si="2"/>
        <v>133.02485785284912</v>
      </c>
    </row>
    <row r="25" spans="1:7">
      <c r="A25" s="2">
        <v>45071</v>
      </c>
      <c r="B25">
        <v>17.623950000000001</v>
      </c>
      <c r="C25">
        <f t="shared" si="3"/>
        <v>-0.23085000000000022</v>
      </c>
      <c r="D25" s="4">
        <f t="shared" si="0"/>
        <v>-1</v>
      </c>
      <c r="E25" s="5">
        <f t="shared" si="1"/>
        <v>-1.3098652685691926E-2</v>
      </c>
      <c r="F25" s="7">
        <v>19.139999389648441</v>
      </c>
      <c r="G25" s="7">
        <f t="shared" si="2"/>
        <v>127.1141093773974</v>
      </c>
    </row>
    <row r="26" spans="1:7">
      <c r="A26" s="2">
        <v>45076</v>
      </c>
      <c r="B26">
        <v>17.6813</v>
      </c>
      <c r="C26">
        <f t="shared" si="3"/>
        <v>5.7349999999999568E-2</v>
      </c>
      <c r="D26" s="4">
        <f t="shared" si="0"/>
        <v>1</v>
      </c>
      <c r="E26" s="5">
        <f t="shared" si="1"/>
        <v>3.2435397849705375E-3</v>
      </c>
      <c r="F26" s="7">
        <v>17.45999908447266</v>
      </c>
      <c r="G26" s="7">
        <f t="shared" si="2"/>
        <v>115.95675570153097</v>
      </c>
    </row>
    <row r="27" spans="1:7">
      <c r="A27" s="2">
        <v>45077</v>
      </c>
      <c r="B27">
        <v>17.551600000000001</v>
      </c>
      <c r="C27">
        <f t="shared" si="3"/>
        <v>-0.1296999999999997</v>
      </c>
      <c r="D27" s="4">
        <f t="shared" si="0"/>
        <v>-1</v>
      </c>
      <c r="E27" s="5">
        <f t="shared" si="1"/>
        <v>-7.3896396909683276E-3</v>
      </c>
      <c r="F27" s="7">
        <v>17.940000534057621</v>
      </c>
      <c r="G27" s="7">
        <f t="shared" si="2"/>
        <v>119.14458008551978</v>
      </c>
    </row>
    <row r="28" spans="1:7">
      <c r="A28" s="2">
        <v>45078</v>
      </c>
      <c r="B28">
        <v>17.56035</v>
      </c>
      <c r="C28">
        <f t="shared" si="3"/>
        <v>8.7499999999991473E-3</v>
      </c>
      <c r="D28" s="4">
        <f t="shared" si="0"/>
        <v>1</v>
      </c>
      <c r="E28" s="5">
        <f t="shared" si="1"/>
        <v>4.9828164017227147E-4</v>
      </c>
      <c r="F28" s="7">
        <v>15.64999961853027</v>
      </c>
      <c r="G28" s="7">
        <f t="shared" si="2"/>
        <v>103.93604110259191</v>
      </c>
    </row>
    <row r="29" spans="1:7">
      <c r="A29" s="2">
        <v>45082</v>
      </c>
      <c r="B29">
        <v>17.385300000000001</v>
      </c>
      <c r="C29">
        <f t="shared" si="3"/>
        <v>-0.17504999999999882</v>
      </c>
      <c r="D29" s="4">
        <f t="shared" si="0"/>
        <v>-1</v>
      </c>
      <c r="E29" s="5">
        <f t="shared" si="1"/>
        <v>-1.006885127090121E-2</v>
      </c>
      <c r="F29" s="7">
        <v>14.72999954223633</v>
      </c>
      <c r="G29" s="7">
        <f t="shared" si="2"/>
        <v>97.826062311866878</v>
      </c>
    </row>
    <row r="30" spans="1:7">
      <c r="A30" s="2">
        <v>45083</v>
      </c>
      <c r="B30">
        <v>17.3597</v>
      </c>
      <c r="C30">
        <f t="shared" si="3"/>
        <v>-2.5600000000000733E-2</v>
      </c>
      <c r="D30" s="4">
        <f t="shared" si="0"/>
        <v>-1</v>
      </c>
      <c r="E30" s="5">
        <f t="shared" si="1"/>
        <v>-1.4746798619792239E-3</v>
      </c>
      <c r="F30" s="7">
        <v>13.960000038146971</v>
      </c>
      <c r="G30" s="7">
        <f t="shared" si="2"/>
        <v>92.71227943284066</v>
      </c>
    </row>
    <row r="31" spans="1:7">
      <c r="A31" s="2">
        <v>45084</v>
      </c>
      <c r="B31">
        <v>17.378</v>
      </c>
      <c r="C31">
        <f t="shared" si="3"/>
        <v>1.8299999999999983E-2</v>
      </c>
      <c r="D31" s="4">
        <f t="shared" si="0"/>
        <v>1</v>
      </c>
      <c r="E31" s="5">
        <f t="shared" si="1"/>
        <v>1.0530555875244553E-3</v>
      </c>
      <c r="F31" s="7">
        <v>13.939999580383301</v>
      </c>
      <c r="G31" s="7">
        <f t="shared" si="2"/>
        <v>92.579450777833273</v>
      </c>
    </row>
    <row r="32" spans="1:7">
      <c r="A32" s="2">
        <v>45085</v>
      </c>
      <c r="B32">
        <v>17.286449999999999</v>
      </c>
      <c r="C32">
        <f t="shared" si="3"/>
        <v>-9.1550000000001575E-2</v>
      </c>
      <c r="D32" s="4">
        <f t="shared" si="0"/>
        <v>-1</v>
      </c>
      <c r="E32" s="5">
        <f t="shared" si="1"/>
        <v>-5.296055581105524E-3</v>
      </c>
      <c r="F32" s="7">
        <v>13.64999961853027</v>
      </c>
      <c r="G32" s="7">
        <f t="shared" si="2"/>
        <v>90.653479615558112</v>
      </c>
    </row>
    <row r="33" spans="1:7">
      <c r="A33" s="2">
        <v>45089</v>
      </c>
      <c r="B33">
        <v>17.222999999999999</v>
      </c>
      <c r="C33">
        <f t="shared" si="3"/>
        <v>-6.3449999999999562E-2</v>
      </c>
      <c r="D33" s="4">
        <f t="shared" si="0"/>
        <v>-1</v>
      </c>
      <c r="E33" s="5">
        <f t="shared" si="1"/>
        <v>-3.6840271729663568E-3</v>
      </c>
      <c r="F33" s="7">
        <v>15.010000228881839</v>
      </c>
      <c r="G33" s="7">
        <f t="shared" si="2"/>
        <v>99.685625480257215</v>
      </c>
    </row>
    <row r="34" spans="1:7">
      <c r="A34" s="2">
        <v>45090</v>
      </c>
      <c r="B34">
        <v>17.105499999999999</v>
      </c>
      <c r="C34">
        <f t="shared" si="3"/>
        <v>-0.11749999999999972</v>
      </c>
      <c r="D34" s="4">
        <f t="shared" ref="D34:D65" si="4">IF(C34&gt;0,1,IF(C34&lt;0,-1,0))</f>
        <v>-1</v>
      </c>
      <c r="E34" s="5">
        <f t="shared" ref="E34:E65" si="5">C34/B34</f>
        <v>-6.8691356581216407E-3</v>
      </c>
      <c r="F34" s="7">
        <v>14.60999965667725</v>
      </c>
      <c r="G34" s="7">
        <f t="shared" ref="G34:G65" si="6">F34/$F$202*100</f>
        <v>97.029109382679138</v>
      </c>
    </row>
    <row r="35" spans="1:7">
      <c r="A35" s="2">
        <v>45091</v>
      </c>
      <c r="B35">
        <v>17.119900000000001</v>
      </c>
      <c r="C35">
        <f t="shared" ref="C35:C66" si="7">B35-B34</f>
        <v>1.4400000000001967E-2</v>
      </c>
      <c r="D35" s="4">
        <f t="shared" si="4"/>
        <v>1</v>
      </c>
      <c r="E35" s="5">
        <f t="shared" si="5"/>
        <v>8.4112640844876232E-4</v>
      </c>
      <c r="F35" s="7">
        <v>13.88000011444092</v>
      </c>
      <c r="G35" s="7">
        <f t="shared" si="6"/>
        <v>92.180977480048838</v>
      </c>
    </row>
    <row r="36" spans="1:7">
      <c r="A36" s="2">
        <v>45092</v>
      </c>
      <c r="B36">
        <v>17.0733</v>
      </c>
      <c r="C36">
        <f t="shared" si="7"/>
        <v>-4.6600000000001529E-2</v>
      </c>
      <c r="D36" s="4">
        <f t="shared" si="4"/>
        <v>-1</v>
      </c>
      <c r="E36" s="5">
        <f t="shared" si="5"/>
        <v>-2.7294079059116592E-3</v>
      </c>
      <c r="F36" s="7">
        <v>14.5</v>
      </c>
      <c r="G36" s="7">
        <f t="shared" si="6"/>
        <v>96.298570780995036</v>
      </c>
    </row>
    <row r="37" spans="1:7">
      <c r="A37" s="2">
        <v>45097</v>
      </c>
      <c r="B37">
        <v>17.11645</v>
      </c>
      <c r="C37">
        <f t="shared" si="7"/>
        <v>4.3150000000000688E-2</v>
      </c>
      <c r="D37" s="4">
        <f t="shared" si="4"/>
        <v>1</v>
      </c>
      <c r="E37" s="5">
        <f t="shared" si="5"/>
        <v>2.5209666724116675E-3</v>
      </c>
      <c r="F37" s="7">
        <v>13.88000011444092</v>
      </c>
      <c r="G37" s="7">
        <f t="shared" si="6"/>
        <v>92.180977480048838</v>
      </c>
    </row>
    <row r="38" spans="1:7">
      <c r="A38" s="2">
        <v>45098</v>
      </c>
      <c r="B38">
        <v>17.189599999999999</v>
      </c>
      <c r="C38">
        <f t="shared" si="7"/>
        <v>7.3149999999998272E-2</v>
      </c>
      <c r="D38" s="4">
        <f t="shared" si="4"/>
        <v>1</v>
      </c>
      <c r="E38" s="5">
        <f t="shared" si="5"/>
        <v>4.2554800577092123E-3</v>
      </c>
      <c r="F38" s="7">
        <v>13.19999980926514</v>
      </c>
      <c r="G38" s="7">
        <f t="shared" si="6"/>
        <v>87.664904547699322</v>
      </c>
    </row>
    <row r="39" spans="1:7">
      <c r="A39" s="2">
        <v>45099</v>
      </c>
      <c r="B39">
        <v>17.186900000000001</v>
      </c>
      <c r="C39">
        <f t="shared" si="7"/>
        <v>-2.6999999999972601E-3</v>
      </c>
      <c r="D39" s="4">
        <f t="shared" si="4"/>
        <v>-1</v>
      </c>
      <c r="E39" s="5">
        <f t="shared" si="5"/>
        <v>-1.570963931830208E-4</v>
      </c>
      <c r="F39" s="7">
        <v>12.909999847412109</v>
      </c>
      <c r="G39" s="7">
        <f t="shared" si="6"/>
        <v>85.738933385424161</v>
      </c>
    </row>
    <row r="40" spans="1:7">
      <c r="A40" s="2">
        <v>45102</v>
      </c>
      <c r="B40">
        <v>17.13635</v>
      </c>
      <c r="C40">
        <f t="shared" si="7"/>
        <v>-5.0550000000001205E-2</v>
      </c>
      <c r="D40" s="4">
        <f t="shared" si="4"/>
        <v>-1</v>
      </c>
      <c r="E40" s="5">
        <f t="shared" si="5"/>
        <v>-2.9498697213818114E-3</v>
      </c>
      <c r="F40" s="7">
        <v>13.439999580383301</v>
      </c>
      <c r="G40" s="7">
        <f t="shared" si="6"/>
        <v>89.258810406074829</v>
      </c>
    </row>
    <row r="41" spans="1:7">
      <c r="A41" s="2">
        <v>45103</v>
      </c>
      <c r="B41">
        <v>17.085699999999999</v>
      </c>
      <c r="C41">
        <f t="shared" si="7"/>
        <v>-5.0650000000000972E-2</v>
      </c>
      <c r="D41" s="4">
        <f t="shared" si="4"/>
        <v>-1</v>
      </c>
      <c r="E41" s="5">
        <f t="shared" si="5"/>
        <v>-2.964467361594841E-3</v>
      </c>
      <c r="F41" s="7">
        <v>14.25</v>
      </c>
      <c r="G41" s="7">
        <f t="shared" si="6"/>
        <v>94.638250595115807</v>
      </c>
    </row>
    <row r="42" spans="1:7">
      <c r="A42" s="2">
        <v>45104</v>
      </c>
      <c r="B42">
        <v>17.0946</v>
      </c>
      <c r="C42">
        <f t="shared" si="7"/>
        <v>8.9000000000005741E-3</v>
      </c>
      <c r="D42" s="4">
        <f t="shared" si="4"/>
        <v>1</v>
      </c>
      <c r="E42" s="5">
        <f t="shared" si="5"/>
        <v>5.2063224644042995E-4</v>
      </c>
      <c r="F42" s="7">
        <v>13.739999771118161</v>
      </c>
      <c r="G42" s="7">
        <f t="shared" si="6"/>
        <v>91.251195895853641</v>
      </c>
    </row>
    <row r="43" spans="1:7">
      <c r="A43" s="2">
        <v>45105</v>
      </c>
      <c r="B43">
        <v>17.124099999999999</v>
      </c>
      <c r="C43">
        <f t="shared" si="7"/>
        <v>2.9499999999998749E-2</v>
      </c>
      <c r="D43" s="4">
        <f t="shared" si="4"/>
        <v>1</v>
      </c>
      <c r="E43" s="5">
        <f t="shared" si="5"/>
        <v>1.722718274244997E-3</v>
      </c>
      <c r="F43" s="7">
        <v>13.430000305175779</v>
      </c>
      <c r="G43" s="7">
        <f t="shared" si="6"/>
        <v>89.192402412189992</v>
      </c>
    </row>
    <row r="44" spans="1:7">
      <c r="A44" s="2">
        <v>45106</v>
      </c>
      <c r="B44">
        <v>17.121590000000001</v>
      </c>
      <c r="C44">
        <f t="shared" si="7"/>
        <v>-2.5099999999973477E-3</v>
      </c>
      <c r="D44" s="4">
        <f t="shared" si="4"/>
        <v>-1</v>
      </c>
      <c r="E44" s="5">
        <f t="shared" si="5"/>
        <v>-1.4659853436493618E-4</v>
      </c>
      <c r="F44" s="7">
        <v>13.539999961853029</v>
      </c>
      <c r="G44" s="7">
        <f t="shared" si="6"/>
        <v>89.92294101387408</v>
      </c>
    </row>
    <row r="45" spans="1:7">
      <c r="A45" s="2">
        <v>45110</v>
      </c>
      <c r="B45">
        <v>17.0534</v>
      </c>
      <c r="C45">
        <f t="shared" si="7"/>
        <v>-6.8190000000001305E-2</v>
      </c>
      <c r="D45" s="4">
        <f t="shared" si="4"/>
        <v>-1</v>
      </c>
      <c r="E45" s="5">
        <f t="shared" si="5"/>
        <v>-3.9986161117431893E-3</v>
      </c>
      <c r="F45" s="7">
        <v>13.569999694824221</v>
      </c>
      <c r="G45" s="7">
        <f t="shared" si="6"/>
        <v>90.122177662766305</v>
      </c>
    </row>
    <row r="46" spans="1:7">
      <c r="A46" s="2">
        <v>45112</v>
      </c>
      <c r="B46">
        <v>17.240349999999999</v>
      </c>
      <c r="C46">
        <f t="shared" si="7"/>
        <v>0.18694999999999951</v>
      </c>
      <c r="D46" s="4">
        <f t="shared" si="4"/>
        <v>1</v>
      </c>
      <c r="E46" s="5">
        <f t="shared" si="5"/>
        <v>1.0843747371718063E-2</v>
      </c>
      <c r="F46" s="7">
        <v>14.180000305175779</v>
      </c>
      <c r="G46" s="7">
        <f t="shared" si="6"/>
        <v>94.173362969827664</v>
      </c>
    </row>
    <row r="47" spans="1:7">
      <c r="A47" s="2">
        <v>45113</v>
      </c>
      <c r="B47">
        <v>17.14594</v>
      </c>
      <c r="C47">
        <f t="shared" si="7"/>
        <v>-9.4409999999999883E-2</v>
      </c>
      <c r="D47" s="4">
        <f t="shared" si="4"/>
        <v>-1</v>
      </c>
      <c r="E47" s="5">
        <f t="shared" si="5"/>
        <v>-5.5062597909475881E-3</v>
      </c>
      <c r="F47" s="7">
        <v>15.439999580383301</v>
      </c>
      <c r="G47" s="7">
        <f t="shared" si="6"/>
        <v>102.54137189310863</v>
      </c>
    </row>
    <row r="48" spans="1:7">
      <c r="A48" s="2">
        <v>45117</v>
      </c>
      <c r="B48">
        <v>17.04505</v>
      </c>
      <c r="C48">
        <f t="shared" si="7"/>
        <v>-0.1008899999999997</v>
      </c>
      <c r="D48" s="4">
        <f t="shared" si="4"/>
        <v>-1</v>
      </c>
      <c r="E48" s="5">
        <f t="shared" si="5"/>
        <v>-5.9190204780859958E-3</v>
      </c>
      <c r="F48" s="7">
        <v>15.069999694824221</v>
      </c>
      <c r="G48" s="7">
        <f t="shared" si="6"/>
        <v>100.08409877804165</v>
      </c>
    </row>
    <row r="49" spans="1:7">
      <c r="A49" s="2">
        <v>45118</v>
      </c>
      <c r="B49">
        <v>16.896750000000001</v>
      </c>
      <c r="C49">
        <f t="shared" si="7"/>
        <v>-0.14829999999999899</v>
      </c>
      <c r="D49" s="4">
        <f t="shared" si="4"/>
        <v>-1</v>
      </c>
      <c r="E49" s="5">
        <f t="shared" si="5"/>
        <v>-8.7768357820290285E-3</v>
      </c>
      <c r="F49" s="7">
        <v>14.840000152587891</v>
      </c>
      <c r="G49" s="7">
        <f t="shared" si="6"/>
        <v>98.556607247169808</v>
      </c>
    </row>
    <row r="50" spans="1:7">
      <c r="A50" s="2">
        <v>45119</v>
      </c>
      <c r="B50">
        <v>16.839500000000001</v>
      </c>
      <c r="C50">
        <f t="shared" si="7"/>
        <v>-5.7249999999999801E-2</v>
      </c>
      <c r="D50" s="4">
        <f t="shared" si="4"/>
        <v>-1</v>
      </c>
      <c r="E50" s="5">
        <f t="shared" si="5"/>
        <v>-3.3997446480002256E-3</v>
      </c>
      <c r="F50" s="7">
        <v>13.539999961853029</v>
      </c>
      <c r="G50" s="7">
        <f t="shared" si="6"/>
        <v>89.92294101387408</v>
      </c>
    </row>
    <row r="51" spans="1:7">
      <c r="A51" s="2">
        <v>45120</v>
      </c>
      <c r="B51">
        <v>16.750050000000002</v>
      </c>
      <c r="C51">
        <f t="shared" si="7"/>
        <v>-8.9449999999999363E-2</v>
      </c>
      <c r="D51" s="4">
        <f t="shared" si="4"/>
        <v>-1</v>
      </c>
      <c r="E51" s="5">
        <f t="shared" si="5"/>
        <v>-5.3402825663206588E-3</v>
      </c>
      <c r="F51" s="7">
        <v>13.60999965667725</v>
      </c>
      <c r="G51" s="7">
        <f t="shared" si="6"/>
        <v>90.387828639162237</v>
      </c>
    </row>
    <row r="52" spans="1:7">
      <c r="A52" s="2">
        <v>45124</v>
      </c>
      <c r="B52">
        <v>16.751149999999999</v>
      </c>
      <c r="C52">
        <f t="shared" si="7"/>
        <v>1.0999999999974364E-3</v>
      </c>
      <c r="D52" s="4">
        <f t="shared" si="4"/>
        <v>1</v>
      </c>
      <c r="E52" s="5">
        <f t="shared" si="5"/>
        <v>6.5667133301142687E-5</v>
      </c>
      <c r="F52" s="7">
        <v>13.47999954223633</v>
      </c>
      <c r="G52" s="7">
        <f t="shared" si="6"/>
        <v>89.524461382470761</v>
      </c>
    </row>
    <row r="53" spans="1:7">
      <c r="A53" s="2">
        <v>45125</v>
      </c>
      <c r="B53">
        <v>16.71245</v>
      </c>
      <c r="C53">
        <f t="shared" si="7"/>
        <v>-3.8699999999998624E-2</v>
      </c>
      <c r="D53" s="4">
        <f t="shared" si="4"/>
        <v>-1</v>
      </c>
      <c r="E53" s="5">
        <f t="shared" si="5"/>
        <v>-2.3156389398321982E-3</v>
      </c>
      <c r="F53" s="7">
        <v>13.30000019073486</v>
      </c>
      <c r="G53" s="7">
        <f t="shared" si="6"/>
        <v>88.329035155498516</v>
      </c>
    </row>
    <row r="54" spans="1:7">
      <c r="A54" s="2">
        <v>45126</v>
      </c>
      <c r="B54">
        <v>16.8796</v>
      </c>
      <c r="C54">
        <f t="shared" si="7"/>
        <v>0.16714999999999947</v>
      </c>
      <c r="D54" s="4">
        <f t="shared" si="4"/>
        <v>1</v>
      </c>
      <c r="E54" s="5">
        <f t="shared" si="5"/>
        <v>9.9024858408966725E-3</v>
      </c>
      <c r="F54" s="7">
        <v>13.760000228881839</v>
      </c>
      <c r="G54" s="7">
        <f t="shared" si="6"/>
        <v>91.384024550861085</v>
      </c>
    </row>
    <row r="55" spans="1:7">
      <c r="A55" s="2">
        <v>45127</v>
      </c>
      <c r="B55">
        <v>16.988350000000001</v>
      </c>
      <c r="C55">
        <f t="shared" si="7"/>
        <v>0.10875000000000057</v>
      </c>
      <c r="D55" s="4">
        <f t="shared" si="4"/>
        <v>1</v>
      </c>
      <c r="E55" s="5">
        <f t="shared" si="5"/>
        <v>6.4014456966097685E-3</v>
      </c>
      <c r="F55" s="7">
        <v>13.989999771118161</v>
      </c>
      <c r="G55" s="7">
        <f t="shared" si="6"/>
        <v>92.91151608173287</v>
      </c>
    </row>
    <row r="56" spans="1:7">
      <c r="A56" s="2">
        <v>45131</v>
      </c>
      <c r="B56">
        <v>16.932749999999999</v>
      </c>
      <c r="C56">
        <f t="shared" si="7"/>
        <v>-5.560000000000187E-2</v>
      </c>
      <c r="D56" s="4">
        <f t="shared" si="4"/>
        <v>-1</v>
      </c>
      <c r="E56" s="5">
        <f t="shared" si="5"/>
        <v>-3.2835776823021585E-3</v>
      </c>
      <c r="F56" s="7">
        <v>13.909999847412109</v>
      </c>
      <c r="G56" s="7">
        <f t="shared" si="6"/>
        <v>92.380214128941049</v>
      </c>
    </row>
    <row r="57" spans="1:7">
      <c r="A57" s="2">
        <v>45132</v>
      </c>
      <c r="B57">
        <v>16.8429</v>
      </c>
      <c r="C57">
        <f t="shared" si="7"/>
        <v>-8.9849999999998431E-2</v>
      </c>
      <c r="D57" s="4">
        <f t="shared" si="4"/>
        <v>-1</v>
      </c>
      <c r="E57" s="5">
        <f t="shared" si="5"/>
        <v>-5.3345920239387772E-3</v>
      </c>
      <c r="F57" s="7">
        <v>13.85999965667725</v>
      </c>
      <c r="G57" s="7">
        <f t="shared" si="6"/>
        <v>92.048148825041451</v>
      </c>
    </row>
    <row r="58" spans="1:7">
      <c r="A58" s="2">
        <v>45133</v>
      </c>
      <c r="B58">
        <v>16.877099999999999</v>
      </c>
      <c r="C58">
        <f t="shared" si="7"/>
        <v>3.4199999999998454E-2</v>
      </c>
      <c r="D58" s="4">
        <f t="shared" si="4"/>
        <v>1</v>
      </c>
      <c r="E58" s="5">
        <f t="shared" si="5"/>
        <v>2.0264144906410732E-3</v>
      </c>
      <c r="F58" s="7">
        <v>13.189999580383301</v>
      </c>
      <c r="G58" s="7">
        <f t="shared" si="6"/>
        <v>87.5984902201956</v>
      </c>
    </row>
    <row r="59" spans="1:7">
      <c r="A59" s="2">
        <v>45134</v>
      </c>
      <c r="B59">
        <v>16.690100000000001</v>
      </c>
      <c r="C59">
        <f t="shared" si="7"/>
        <v>-0.18699999999999761</v>
      </c>
      <c r="D59" s="4">
        <f t="shared" si="4"/>
        <v>-1</v>
      </c>
      <c r="E59" s="5">
        <f t="shared" si="5"/>
        <v>-1.1204246828958341E-2</v>
      </c>
      <c r="F59" s="7">
        <v>14.409999847412109</v>
      </c>
      <c r="G59" s="7">
        <f t="shared" si="6"/>
        <v>95.700854500699506</v>
      </c>
    </row>
    <row r="60" spans="1:7">
      <c r="A60" s="2">
        <v>45138</v>
      </c>
      <c r="B60">
        <v>16.881150000000002</v>
      </c>
      <c r="C60">
        <f t="shared" si="7"/>
        <v>0.19105000000000061</v>
      </c>
      <c r="D60" s="4">
        <f t="shared" si="4"/>
        <v>1</v>
      </c>
      <c r="E60" s="5">
        <f t="shared" si="5"/>
        <v>1.1317356933621263E-2</v>
      </c>
      <c r="F60" s="7">
        <v>13.63000011444092</v>
      </c>
      <c r="G60" s="7">
        <f t="shared" si="6"/>
        <v>90.520657294169609</v>
      </c>
    </row>
    <row r="61" spans="1:7">
      <c r="A61" s="2">
        <v>45139</v>
      </c>
      <c r="B61">
        <v>17.016449999999999</v>
      </c>
      <c r="C61">
        <f t="shared" si="7"/>
        <v>0.13529999999999731</v>
      </c>
      <c r="D61" s="4">
        <f t="shared" si="4"/>
        <v>1</v>
      </c>
      <c r="E61" s="5">
        <f t="shared" si="5"/>
        <v>7.9511296421990087E-3</v>
      </c>
      <c r="F61" s="7">
        <v>13.930000305175779</v>
      </c>
      <c r="G61" s="7">
        <f t="shared" si="6"/>
        <v>92.513042783948435</v>
      </c>
    </row>
    <row r="62" spans="1:7">
      <c r="A62" s="2">
        <v>45140</v>
      </c>
      <c r="B62">
        <v>17.3523</v>
      </c>
      <c r="C62">
        <f t="shared" si="7"/>
        <v>0.33585000000000065</v>
      </c>
      <c r="D62" s="4">
        <f t="shared" si="4"/>
        <v>1</v>
      </c>
      <c r="E62" s="5">
        <f t="shared" si="5"/>
        <v>1.9354782939437463E-2</v>
      </c>
      <c r="F62" s="7">
        <v>16.090000152587891</v>
      </c>
      <c r="G62" s="7">
        <f t="shared" si="6"/>
        <v>106.85820817656592</v>
      </c>
    </row>
    <row r="63" spans="1:7">
      <c r="A63" s="2">
        <v>45141</v>
      </c>
      <c r="B63">
        <v>17.078299999999999</v>
      </c>
      <c r="C63">
        <f t="shared" si="7"/>
        <v>-0.27400000000000091</v>
      </c>
      <c r="D63" s="4">
        <f t="shared" si="4"/>
        <v>-1</v>
      </c>
      <c r="E63" s="5">
        <f t="shared" si="5"/>
        <v>-1.6043751427249838E-2</v>
      </c>
      <c r="F63" s="7">
        <v>15.920000076293951</v>
      </c>
      <c r="G63" s="7">
        <f t="shared" si="6"/>
        <v>105.7291899434786</v>
      </c>
    </row>
    <row r="64" spans="1:7">
      <c r="A64" s="2">
        <v>45145</v>
      </c>
      <c r="B64">
        <v>17.118449999999999</v>
      </c>
      <c r="C64">
        <f t="shared" si="7"/>
        <v>4.0150000000000574E-2</v>
      </c>
      <c r="D64" s="4">
        <f t="shared" si="4"/>
        <v>1</v>
      </c>
      <c r="E64" s="5">
        <f t="shared" si="5"/>
        <v>2.3454226288011225E-3</v>
      </c>
      <c r="F64" s="7">
        <v>15.77000045776367</v>
      </c>
      <c r="G64" s="7">
        <f t="shared" si="6"/>
        <v>104.73300036539854</v>
      </c>
    </row>
    <row r="65" spans="1:7">
      <c r="A65" s="2">
        <v>45146</v>
      </c>
      <c r="B65">
        <v>17.0578</v>
      </c>
      <c r="C65">
        <f t="shared" si="7"/>
        <v>-6.0649999999998983E-2</v>
      </c>
      <c r="D65" s="4">
        <f t="shared" si="4"/>
        <v>-1</v>
      </c>
      <c r="E65" s="5">
        <f t="shared" si="5"/>
        <v>-3.5555581610758119E-3</v>
      </c>
      <c r="F65" s="7">
        <v>15.989999771118161</v>
      </c>
      <c r="G65" s="7">
        <f t="shared" si="6"/>
        <v>106.19407756876666</v>
      </c>
    </row>
    <row r="66" spans="1:7">
      <c r="A66" s="2">
        <v>45147</v>
      </c>
      <c r="B66">
        <v>17.1309</v>
      </c>
      <c r="C66">
        <f t="shared" si="7"/>
        <v>7.3100000000000165E-2</v>
      </c>
      <c r="D66" s="4">
        <f t="shared" ref="D66:D97" si="8">IF(C66&gt;0,1,IF(C66&lt;0,-1,0))</f>
        <v>1</v>
      </c>
      <c r="E66" s="5">
        <f t="shared" ref="E66:E97" si="9">C66/B66</f>
        <v>4.267142998908415E-3</v>
      </c>
      <c r="F66" s="7">
        <v>15.960000038146971</v>
      </c>
      <c r="G66" s="7">
        <f t="shared" ref="G66:G97" si="10">F66/$F$202*100</f>
        <v>105.99484091987446</v>
      </c>
    </row>
    <row r="67" spans="1:7">
      <c r="A67" s="2">
        <v>45148</v>
      </c>
      <c r="B67">
        <v>17.003350000000001</v>
      </c>
      <c r="C67">
        <f t="shared" ref="C67:C98" si="11">B67-B66</f>
        <v>-0.12754999999999939</v>
      </c>
      <c r="D67" s="4">
        <f t="shared" si="8"/>
        <v>-1</v>
      </c>
      <c r="E67" s="5">
        <f t="shared" si="9"/>
        <v>-7.501462947007465E-3</v>
      </c>
      <c r="F67" s="7">
        <v>15.85000038146973</v>
      </c>
      <c r="G67" s="7">
        <f t="shared" si="10"/>
        <v>105.26430231819045</v>
      </c>
    </row>
    <row r="68" spans="1:7">
      <c r="A68" s="2">
        <v>45152</v>
      </c>
      <c r="B68">
        <v>17.149550000000001</v>
      </c>
      <c r="C68">
        <f t="shared" si="11"/>
        <v>0.14620000000000033</v>
      </c>
      <c r="D68" s="4">
        <f t="shared" si="8"/>
        <v>1</v>
      </c>
      <c r="E68" s="5">
        <f t="shared" si="9"/>
        <v>8.5250050292865007E-3</v>
      </c>
      <c r="F68" s="7">
        <v>14.819999694824221</v>
      </c>
      <c r="G68" s="7">
        <f t="shared" si="10"/>
        <v>98.423778592162421</v>
      </c>
    </row>
    <row r="69" spans="1:7">
      <c r="A69" s="2">
        <v>45153</v>
      </c>
      <c r="B69">
        <v>17.143699999999999</v>
      </c>
      <c r="C69">
        <f t="shared" si="11"/>
        <v>-5.8500000000023533E-3</v>
      </c>
      <c r="D69" s="4">
        <f t="shared" si="8"/>
        <v>-1</v>
      </c>
      <c r="E69" s="5">
        <f t="shared" si="9"/>
        <v>-3.4123322270002122E-4</v>
      </c>
      <c r="F69" s="7">
        <v>16.45999908447266</v>
      </c>
      <c r="G69" s="7">
        <f t="shared" si="10"/>
        <v>109.31547495801408</v>
      </c>
    </row>
    <row r="70" spans="1:7">
      <c r="A70" s="2">
        <v>45154</v>
      </c>
      <c r="B70">
        <v>17.10765</v>
      </c>
      <c r="C70">
        <f t="shared" si="11"/>
        <v>-3.6049999999999471E-2</v>
      </c>
      <c r="D70" s="4">
        <f t="shared" si="8"/>
        <v>-1</v>
      </c>
      <c r="E70" s="5">
        <f t="shared" si="9"/>
        <v>-2.1072444198939931E-3</v>
      </c>
      <c r="F70" s="7">
        <v>16.780000686645511</v>
      </c>
      <c r="G70" s="7">
        <f t="shared" si="10"/>
        <v>111.44069543641919</v>
      </c>
    </row>
    <row r="71" spans="1:7">
      <c r="A71" s="2">
        <v>45155</v>
      </c>
      <c r="B71">
        <v>17.058700000000002</v>
      </c>
      <c r="C71">
        <f t="shared" si="11"/>
        <v>-4.8949999999997829E-2</v>
      </c>
      <c r="D71" s="4">
        <f t="shared" si="8"/>
        <v>-1</v>
      </c>
      <c r="E71" s="5">
        <f t="shared" si="9"/>
        <v>-2.8695035377841118E-3</v>
      </c>
      <c r="F71" s="7">
        <v>17.889999389648441</v>
      </c>
      <c r="G71" s="7">
        <f t="shared" si="10"/>
        <v>118.81250844800128</v>
      </c>
    </row>
    <row r="72" spans="1:7">
      <c r="A72" s="2">
        <v>45159</v>
      </c>
      <c r="B72">
        <v>16.908149999999999</v>
      </c>
      <c r="C72">
        <f t="shared" si="11"/>
        <v>-0.15055000000000263</v>
      </c>
      <c r="D72" s="4">
        <f t="shared" si="8"/>
        <v>-1</v>
      </c>
      <c r="E72" s="5">
        <f t="shared" si="9"/>
        <v>-8.9039900876206231E-3</v>
      </c>
      <c r="F72" s="7">
        <v>17.129999160766602</v>
      </c>
      <c r="G72" s="7">
        <f t="shared" si="10"/>
        <v>113.76513356285989</v>
      </c>
    </row>
    <row r="73" spans="1:7">
      <c r="A73" s="2">
        <v>45160</v>
      </c>
      <c r="B73">
        <v>16.7943</v>
      </c>
      <c r="C73">
        <f t="shared" si="11"/>
        <v>-0.11384999999999934</v>
      </c>
      <c r="D73" s="4">
        <f t="shared" si="8"/>
        <v>-1</v>
      </c>
      <c r="E73" s="5">
        <f t="shared" si="9"/>
        <v>-6.7790857612403813E-3</v>
      </c>
      <c r="F73" s="7">
        <v>16.969999313354489</v>
      </c>
      <c r="G73" s="7">
        <f t="shared" si="10"/>
        <v>112.70252965727616</v>
      </c>
    </row>
    <row r="74" spans="1:7">
      <c r="A74" s="2">
        <v>45161</v>
      </c>
      <c r="B74">
        <v>16.836449999999999</v>
      </c>
      <c r="C74">
        <f t="shared" si="11"/>
        <v>4.2149999999999466E-2</v>
      </c>
      <c r="D74" s="4">
        <f t="shared" si="8"/>
        <v>1</v>
      </c>
      <c r="E74" s="5">
        <f t="shared" si="9"/>
        <v>2.503496877310803E-3</v>
      </c>
      <c r="F74" s="7">
        <v>15.97999954223633</v>
      </c>
      <c r="G74" s="7">
        <f t="shared" si="10"/>
        <v>106.12766324126301</v>
      </c>
    </row>
    <row r="75" spans="1:7">
      <c r="A75" s="2">
        <v>45162</v>
      </c>
      <c r="B75">
        <v>16.752800000000001</v>
      </c>
      <c r="C75">
        <f t="shared" si="11"/>
        <v>-8.364999999999867E-2</v>
      </c>
      <c r="D75" s="4">
        <f t="shared" si="8"/>
        <v>-1</v>
      </c>
      <c r="E75" s="5">
        <f t="shared" si="9"/>
        <v>-4.9931951673749262E-3</v>
      </c>
      <c r="F75" s="7">
        <v>17.20000076293945</v>
      </c>
      <c r="G75" s="7">
        <f t="shared" si="10"/>
        <v>114.23003385538576</v>
      </c>
    </row>
    <row r="76" spans="1:7">
      <c r="A76" s="2">
        <v>45166</v>
      </c>
      <c r="B76">
        <v>16.796050000000001</v>
      </c>
      <c r="C76">
        <f t="shared" si="11"/>
        <v>4.3250000000000455E-2</v>
      </c>
      <c r="D76" s="4">
        <f t="shared" si="8"/>
        <v>1</v>
      </c>
      <c r="E76" s="5">
        <f t="shared" si="9"/>
        <v>2.5750101958496464E-3</v>
      </c>
      <c r="F76" s="7">
        <v>15.079999923706049</v>
      </c>
      <c r="G76" s="7">
        <f t="shared" si="10"/>
        <v>100.1505131055453</v>
      </c>
    </row>
    <row r="77" spans="1:7">
      <c r="A77" s="2">
        <v>45167</v>
      </c>
      <c r="B77">
        <v>16.744150000000001</v>
      </c>
      <c r="C77">
        <f t="shared" si="11"/>
        <v>-5.1899999999999835E-2</v>
      </c>
      <c r="D77" s="4">
        <f t="shared" si="8"/>
        <v>-1</v>
      </c>
      <c r="E77" s="5">
        <f t="shared" si="9"/>
        <v>-3.0995900060618083E-3</v>
      </c>
      <c r="F77" s="7">
        <v>14.44999980926514</v>
      </c>
      <c r="G77" s="7">
        <f t="shared" si="10"/>
        <v>95.966505477095438</v>
      </c>
    </row>
    <row r="78" spans="1:7">
      <c r="A78" s="2">
        <v>45168</v>
      </c>
      <c r="B78">
        <v>17.044550000000001</v>
      </c>
      <c r="C78">
        <f t="shared" si="11"/>
        <v>0.30039999999999978</v>
      </c>
      <c r="D78" s="4">
        <f t="shared" si="8"/>
        <v>1</v>
      </c>
      <c r="E78" s="5">
        <f t="shared" si="9"/>
        <v>1.7624401934929333E-2</v>
      </c>
      <c r="F78" s="7">
        <v>13.88000011444092</v>
      </c>
      <c r="G78" s="7">
        <f t="shared" si="10"/>
        <v>92.180977480048838</v>
      </c>
    </row>
    <row r="79" spans="1:7">
      <c r="A79" s="2">
        <v>45169</v>
      </c>
      <c r="B79">
        <v>17.095199999999998</v>
      </c>
      <c r="C79">
        <f t="shared" si="11"/>
        <v>5.0649999999997419E-2</v>
      </c>
      <c r="D79" s="4">
        <f t="shared" si="8"/>
        <v>1</v>
      </c>
      <c r="E79" s="5">
        <f t="shared" si="9"/>
        <v>2.9628199728577278E-3</v>
      </c>
      <c r="F79" s="7">
        <v>13.569999694824221</v>
      </c>
      <c r="G79" s="7">
        <f t="shared" si="10"/>
        <v>90.122177662766305</v>
      </c>
    </row>
    <row r="80" spans="1:7">
      <c r="A80" s="2">
        <v>45174</v>
      </c>
      <c r="B80">
        <v>17.582000000000001</v>
      </c>
      <c r="C80">
        <f t="shared" si="11"/>
        <v>0.48680000000000234</v>
      </c>
      <c r="D80" s="4">
        <f t="shared" si="8"/>
        <v>1</v>
      </c>
      <c r="E80" s="5">
        <f t="shared" si="9"/>
        <v>2.7687407575930061E-2</v>
      </c>
      <c r="F80" s="7">
        <v>14.010000228881839</v>
      </c>
      <c r="G80" s="7">
        <f t="shared" si="10"/>
        <v>93.044344736740314</v>
      </c>
    </row>
    <row r="81" spans="1:7">
      <c r="A81" s="2">
        <v>45175</v>
      </c>
      <c r="B81">
        <v>17.6096</v>
      </c>
      <c r="C81">
        <f t="shared" si="11"/>
        <v>2.7599999999999625E-2</v>
      </c>
      <c r="D81" s="4">
        <f t="shared" si="8"/>
        <v>1</v>
      </c>
      <c r="E81" s="5">
        <f t="shared" si="9"/>
        <v>1.5673269125931098E-3</v>
      </c>
      <c r="F81" s="7">
        <v>14.44999980926514</v>
      </c>
      <c r="G81" s="7">
        <f t="shared" si="10"/>
        <v>95.966505477095438</v>
      </c>
    </row>
    <row r="82" spans="1:7">
      <c r="A82" s="2">
        <v>45176</v>
      </c>
      <c r="B82">
        <v>17.595079999999999</v>
      </c>
      <c r="C82">
        <f t="shared" si="11"/>
        <v>-1.4520000000000977E-2</v>
      </c>
      <c r="D82" s="4">
        <f t="shared" si="8"/>
        <v>-1</v>
      </c>
      <c r="E82" s="5">
        <f t="shared" si="9"/>
        <v>-8.2523068948825331E-4</v>
      </c>
      <c r="F82" s="7">
        <v>14.39999961853027</v>
      </c>
      <c r="G82" s="7">
        <f t="shared" si="10"/>
        <v>95.634440173195784</v>
      </c>
    </row>
    <row r="83" spans="1:7">
      <c r="A83" s="2">
        <v>45180</v>
      </c>
      <c r="B83">
        <v>17.225449999999999</v>
      </c>
      <c r="C83">
        <f t="shared" si="11"/>
        <v>-0.36963000000000079</v>
      </c>
      <c r="D83" s="4">
        <f t="shared" si="8"/>
        <v>-1</v>
      </c>
      <c r="E83" s="5">
        <f t="shared" si="9"/>
        <v>-2.145836538377812E-2</v>
      </c>
      <c r="F83" s="7">
        <v>13.80000019073486</v>
      </c>
      <c r="G83" s="7">
        <f t="shared" si="10"/>
        <v>91.649675527256974</v>
      </c>
    </row>
    <row r="84" spans="1:7">
      <c r="A84" s="2">
        <v>45181</v>
      </c>
      <c r="B84">
        <v>17.152999999999999</v>
      </c>
      <c r="C84">
        <f t="shared" si="11"/>
        <v>-7.2449999999999903E-2</v>
      </c>
      <c r="D84" s="4">
        <f t="shared" si="8"/>
        <v>-1</v>
      </c>
      <c r="E84" s="5">
        <f t="shared" si="9"/>
        <v>-4.2237509473561424E-3</v>
      </c>
      <c r="F84" s="7">
        <v>14.22999954223633</v>
      </c>
      <c r="G84" s="7">
        <f t="shared" si="10"/>
        <v>94.505421940108434</v>
      </c>
    </row>
    <row r="85" spans="1:7">
      <c r="A85" s="2">
        <v>45182</v>
      </c>
      <c r="B85">
        <v>17.112500000000001</v>
      </c>
      <c r="C85">
        <f t="shared" si="11"/>
        <v>-4.0499999999997982E-2</v>
      </c>
      <c r="D85" s="4">
        <f t="shared" si="8"/>
        <v>-1</v>
      </c>
      <c r="E85" s="5">
        <f t="shared" si="9"/>
        <v>-2.3666910153395458E-3</v>
      </c>
      <c r="F85" s="7">
        <v>13.47999954223633</v>
      </c>
      <c r="G85" s="7">
        <f t="shared" si="10"/>
        <v>89.524461382470761</v>
      </c>
    </row>
    <row r="86" spans="1:7">
      <c r="A86" s="2">
        <v>45183</v>
      </c>
      <c r="B86">
        <v>17.083749999999998</v>
      </c>
      <c r="C86">
        <f t="shared" si="11"/>
        <v>-2.8750000000002274E-2</v>
      </c>
      <c r="D86" s="4">
        <f t="shared" si="8"/>
        <v>-1</v>
      </c>
      <c r="E86" s="5">
        <f t="shared" si="9"/>
        <v>-1.682885783273712E-3</v>
      </c>
      <c r="F86" s="7">
        <v>12.819999694824221</v>
      </c>
      <c r="G86" s="7">
        <f t="shared" si="10"/>
        <v>85.141217105128632</v>
      </c>
    </row>
    <row r="87" spans="1:7">
      <c r="A87" s="2">
        <v>45187</v>
      </c>
      <c r="B87">
        <v>17.084250000000001</v>
      </c>
      <c r="C87">
        <f t="shared" si="11"/>
        <v>5.0000000000238742E-4</v>
      </c>
      <c r="D87" s="4">
        <f t="shared" si="8"/>
        <v>1</v>
      </c>
      <c r="E87" s="5">
        <f t="shared" si="9"/>
        <v>2.9266722273578729E-5</v>
      </c>
      <c r="F87" s="7">
        <v>14</v>
      </c>
      <c r="G87" s="7">
        <f t="shared" si="10"/>
        <v>92.977930409236592</v>
      </c>
    </row>
    <row r="88" spans="1:7">
      <c r="A88" s="2">
        <v>45188</v>
      </c>
      <c r="B88">
        <v>17.094449999999998</v>
      </c>
      <c r="C88">
        <f t="shared" si="11"/>
        <v>1.0199999999997544E-2</v>
      </c>
      <c r="D88" s="4">
        <f t="shared" si="8"/>
        <v>1</v>
      </c>
      <c r="E88" s="5">
        <f t="shared" si="9"/>
        <v>5.9668488895504358E-4</v>
      </c>
      <c r="F88" s="7">
        <v>14.10999965667725</v>
      </c>
      <c r="G88" s="7">
        <f t="shared" si="10"/>
        <v>93.70846901092068</v>
      </c>
    </row>
    <row r="89" spans="1:7">
      <c r="A89" s="2">
        <v>45189</v>
      </c>
      <c r="B89">
        <v>17.235299999999999</v>
      </c>
      <c r="C89">
        <f t="shared" si="11"/>
        <v>0.14085000000000036</v>
      </c>
      <c r="D89" s="4">
        <f t="shared" si="8"/>
        <v>1</v>
      </c>
      <c r="E89" s="5">
        <f t="shared" si="9"/>
        <v>8.1721815112008704E-3</v>
      </c>
      <c r="F89" s="7">
        <v>15.14000034332275</v>
      </c>
      <c r="G89" s="7">
        <f t="shared" si="10"/>
        <v>100.54899273694863</v>
      </c>
    </row>
    <row r="90" spans="1:7">
      <c r="A90" s="2">
        <v>45190</v>
      </c>
      <c r="B90">
        <v>17.21855</v>
      </c>
      <c r="C90">
        <f t="shared" si="11"/>
        <v>-1.6749999999998266E-2</v>
      </c>
      <c r="D90" s="4">
        <f t="shared" si="8"/>
        <v>-1</v>
      </c>
      <c r="E90" s="5">
        <f t="shared" si="9"/>
        <v>-9.7278806868164082E-4</v>
      </c>
      <c r="F90" s="7">
        <v>17.54000091552734</v>
      </c>
      <c r="G90" s="7">
        <f t="shared" si="10"/>
        <v>116.48807032156053</v>
      </c>
    </row>
    <row r="91" spans="1:7">
      <c r="A91" s="2">
        <v>45194</v>
      </c>
      <c r="B91">
        <v>17.548400000000001</v>
      </c>
      <c r="C91">
        <f t="shared" si="11"/>
        <v>0.32985000000000042</v>
      </c>
      <c r="D91" s="4">
        <f t="shared" si="8"/>
        <v>1</v>
      </c>
      <c r="E91" s="5">
        <f t="shared" si="9"/>
        <v>1.8796585443687196E-2</v>
      </c>
      <c r="F91" s="7">
        <v>16.89999961853027</v>
      </c>
      <c r="G91" s="7">
        <f t="shared" si="10"/>
        <v>112.23764203198803</v>
      </c>
    </row>
    <row r="92" spans="1:7">
      <c r="A92" s="2">
        <v>45195</v>
      </c>
      <c r="B92">
        <v>17.669750000000001</v>
      </c>
      <c r="C92">
        <f t="shared" si="11"/>
        <v>0.12134999999999962</v>
      </c>
      <c r="D92" s="4">
        <f t="shared" si="8"/>
        <v>1</v>
      </c>
      <c r="E92" s="5">
        <f t="shared" si="9"/>
        <v>6.8676693218636155E-3</v>
      </c>
      <c r="F92" s="7">
        <v>18.940000534057621</v>
      </c>
      <c r="G92" s="7">
        <f t="shared" si="10"/>
        <v>125.78586082903666</v>
      </c>
    </row>
    <row r="93" spans="1:7">
      <c r="A93" s="2">
        <v>45196</v>
      </c>
      <c r="B93">
        <v>17.540299999999998</v>
      </c>
      <c r="C93">
        <f t="shared" si="11"/>
        <v>-0.12945000000000206</v>
      </c>
      <c r="D93" s="4">
        <f t="shared" si="8"/>
        <v>-1</v>
      </c>
      <c r="E93" s="5">
        <f t="shared" si="9"/>
        <v>-7.3801474319140532E-3</v>
      </c>
      <c r="F93" s="7">
        <v>18.219999313354489</v>
      </c>
      <c r="G93" s="7">
        <f t="shared" si="10"/>
        <v>121.0041305866723</v>
      </c>
    </row>
    <row r="94" spans="1:7">
      <c r="A94" s="2">
        <v>45197</v>
      </c>
      <c r="B94">
        <v>17.418299999999999</v>
      </c>
      <c r="C94">
        <f t="shared" si="11"/>
        <v>-0.12199999999999989</v>
      </c>
      <c r="D94" s="4">
        <f t="shared" si="8"/>
        <v>-1</v>
      </c>
      <c r="E94" s="5">
        <f t="shared" si="9"/>
        <v>-7.0041278425563855E-3</v>
      </c>
      <c r="F94" s="7">
        <v>17.340000152587891</v>
      </c>
      <c r="G94" s="7">
        <f t="shared" si="10"/>
        <v>115.15980910596207</v>
      </c>
    </row>
    <row r="95" spans="1:7">
      <c r="A95" s="2">
        <v>45201</v>
      </c>
      <c r="B95">
        <v>18.072399999999998</v>
      </c>
      <c r="C95">
        <f t="shared" si="11"/>
        <v>0.65409999999999968</v>
      </c>
      <c r="D95" s="4">
        <f t="shared" si="8"/>
        <v>1</v>
      </c>
      <c r="E95" s="5">
        <f t="shared" si="9"/>
        <v>3.6193311347690389E-2</v>
      </c>
      <c r="F95" s="7">
        <v>17.610000610351559</v>
      </c>
      <c r="G95" s="7">
        <f t="shared" si="10"/>
        <v>116.95295794684866</v>
      </c>
    </row>
    <row r="96" spans="1:7">
      <c r="A96" s="2">
        <v>45202</v>
      </c>
      <c r="B96">
        <v>17.955480000000001</v>
      </c>
      <c r="C96">
        <f t="shared" si="11"/>
        <v>-0.1169199999999968</v>
      </c>
      <c r="D96" s="4">
        <f t="shared" si="8"/>
        <v>-1</v>
      </c>
      <c r="E96" s="5">
        <f t="shared" si="9"/>
        <v>-6.5116610639201402E-3</v>
      </c>
      <c r="F96" s="7">
        <v>19.780000686645511</v>
      </c>
      <c r="G96" s="7">
        <f t="shared" si="10"/>
        <v>131.36453766696988</v>
      </c>
    </row>
    <row r="97" spans="1:7">
      <c r="A97" s="2">
        <v>45203</v>
      </c>
      <c r="B97">
        <v>18.26005</v>
      </c>
      <c r="C97">
        <f t="shared" si="11"/>
        <v>0.30456999999999823</v>
      </c>
      <c r="D97" s="4">
        <f t="shared" si="8"/>
        <v>1</v>
      </c>
      <c r="E97" s="5">
        <f t="shared" si="9"/>
        <v>1.6679581928855519E-2</v>
      </c>
      <c r="F97" s="7">
        <v>18.579999923706051</v>
      </c>
      <c r="G97" s="7">
        <f t="shared" si="10"/>
        <v>123.39499570785446</v>
      </c>
    </row>
    <row r="98" spans="1:7">
      <c r="A98" s="2">
        <v>45204</v>
      </c>
      <c r="B98">
        <v>18.1784</v>
      </c>
      <c r="C98">
        <f t="shared" si="11"/>
        <v>-8.1649999999999778E-2</v>
      </c>
      <c r="D98" s="4">
        <f t="shared" ref="D98:D129" si="12">IF(C98&gt;0,1,IF(C98&lt;0,-1,0))</f>
        <v>-1</v>
      </c>
      <c r="E98" s="5">
        <f t="shared" ref="E98:E129" si="13">C98/B98</f>
        <v>-4.4915944197509014E-3</v>
      </c>
      <c r="F98" s="7">
        <v>18.489999771118161</v>
      </c>
      <c r="G98" s="7">
        <f t="shared" ref="G98:G129" si="14">F98/$F$202*100</f>
        <v>122.79727942755892</v>
      </c>
    </row>
    <row r="99" spans="1:7">
      <c r="A99" s="2">
        <v>45208</v>
      </c>
      <c r="B99">
        <v>17.9376</v>
      </c>
      <c r="C99">
        <f t="shared" ref="C99:C130" si="15">B99-B98</f>
        <v>-0.24080000000000013</v>
      </c>
      <c r="D99" s="4">
        <f t="shared" si="12"/>
        <v>-1</v>
      </c>
      <c r="E99" s="5">
        <f t="shared" si="13"/>
        <v>-1.3424315404513431E-2</v>
      </c>
      <c r="F99" s="7">
        <v>17.70000076293945</v>
      </c>
      <c r="G99" s="7">
        <f t="shared" si="14"/>
        <v>117.5506742271442</v>
      </c>
    </row>
    <row r="100" spans="1:7">
      <c r="A100" s="2">
        <v>45209</v>
      </c>
      <c r="B100">
        <v>17.8322</v>
      </c>
      <c r="C100">
        <f t="shared" si="15"/>
        <v>-0.10539999999999949</v>
      </c>
      <c r="D100" s="4">
        <f t="shared" si="12"/>
        <v>-1</v>
      </c>
      <c r="E100" s="5">
        <f t="shared" si="13"/>
        <v>-5.9106560043067869E-3</v>
      </c>
      <c r="F100" s="7">
        <v>17.030000686645511</v>
      </c>
      <c r="G100" s="7">
        <f t="shared" si="14"/>
        <v>113.10101562229842</v>
      </c>
    </row>
    <row r="101" spans="1:7">
      <c r="A101" s="2">
        <v>45210</v>
      </c>
      <c r="B101">
        <v>17.984359999999999</v>
      </c>
      <c r="C101">
        <f t="shared" si="15"/>
        <v>0.15215999999999852</v>
      </c>
      <c r="D101" s="4">
        <f t="shared" si="12"/>
        <v>1</v>
      </c>
      <c r="E101" s="5">
        <f t="shared" si="13"/>
        <v>8.4606847282860508E-3</v>
      </c>
      <c r="F101" s="7">
        <v>16.090000152587891</v>
      </c>
      <c r="G101" s="7">
        <f t="shared" si="14"/>
        <v>106.85820817656592</v>
      </c>
    </row>
    <row r="102" spans="1:7">
      <c r="A102" s="2">
        <v>45211</v>
      </c>
      <c r="B102">
        <v>18.090859999999999</v>
      </c>
      <c r="C102">
        <f t="shared" si="15"/>
        <v>0.10650000000000048</v>
      </c>
      <c r="D102" s="4">
        <f t="shared" si="12"/>
        <v>1</v>
      </c>
      <c r="E102" s="5">
        <f t="shared" si="13"/>
        <v>5.8869506480068107E-3</v>
      </c>
      <c r="F102" s="7">
        <v>16.690000534057621</v>
      </c>
      <c r="G102" s="7">
        <f t="shared" si="14"/>
        <v>110.84297915612365</v>
      </c>
    </row>
    <row r="103" spans="1:7">
      <c r="A103" s="2">
        <v>45215</v>
      </c>
      <c r="B103">
        <v>18.017600000000002</v>
      </c>
      <c r="C103">
        <f t="shared" si="15"/>
        <v>-7.325999999999766E-2</v>
      </c>
      <c r="D103" s="4">
        <f t="shared" si="12"/>
        <v>-1</v>
      </c>
      <c r="E103" s="5">
        <f t="shared" si="13"/>
        <v>-4.0660243317643665E-3</v>
      </c>
      <c r="F103" s="7">
        <v>17.20999908447266</v>
      </c>
      <c r="G103" s="7">
        <f t="shared" si="14"/>
        <v>114.29643551565174</v>
      </c>
    </row>
    <row r="104" spans="1:7">
      <c r="A104" s="2">
        <v>45216</v>
      </c>
      <c r="B104">
        <v>18.249649999999999</v>
      </c>
      <c r="C104">
        <f t="shared" si="15"/>
        <v>0.23204999999999742</v>
      </c>
      <c r="D104" s="4">
        <f t="shared" si="12"/>
        <v>1</v>
      </c>
      <c r="E104" s="5">
        <f t="shared" si="13"/>
        <v>1.2715312348455857E-2</v>
      </c>
      <c r="F104" s="7">
        <v>17.879999160766602</v>
      </c>
      <c r="G104" s="7">
        <f t="shared" si="14"/>
        <v>118.74609412049755</v>
      </c>
    </row>
    <row r="105" spans="1:7">
      <c r="A105" s="2">
        <v>45217</v>
      </c>
      <c r="B105">
        <v>18.325800000000001</v>
      </c>
      <c r="C105">
        <f t="shared" si="15"/>
        <v>7.6150000000001938E-2</v>
      </c>
      <c r="D105" s="4">
        <f t="shared" si="12"/>
        <v>1</v>
      </c>
      <c r="E105" s="5">
        <f t="shared" si="13"/>
        <v>4.1553438321929705E-3</v>
      </c>
      <c r="F105" s="7">
        <v>19.219999313354489</v>
      </c>
      <c r="G105" s="7">
        <f t="shared" si="14"/>
        <v>127.64541133018921</v>
      </c>
    </row>
    <row r="106" spans="1:7">
      <c r="A106" s="2">
        <v>45218</v>
      </c>
      <c r="B106">
        <v>18.23725</v>
      </c>
      <c r="C106">
        <f t="shared" si="15"/>
        <v>-8.8550000000001461E-2</v>
      </c>
      <c r="D106" s="4">
        <f t="shared" si="12"/>
        <v>-1</v>
      </c>
      <c r="E106" s="5">
        <f t="shared" si="13"/>
        <v>-4.8554469560926931E-3</v>
      </c>
      <c r="F106" s="7">
        <v>21.39999961853027</v>
      </c>
      <c r="G106" s="7">
        <f t="shared" si="14"/>
        <v>142.12340537781407</v>
      </c>
    </row>
    <row r="107" spans="1:7">
      <c r="A107" s="2">
        <v>45222</v>
      </c>
      <c r="B107">
        <v>18.25695</v>
      </c>
      <c r="C107">
        <f t="shared" si="15"/>
        <v>1.9700000000000273E-2</v>
      </c>
      <c r="D107" s="4">
        <f t="shared" si="12"/>
        <v>1</v>
      </c>
      <c r="E107" s="5">
        <f t="shared" si="13"/>
        <v>1.0790411322811463E-3</v>
      </c>
      <c r="F107" s="7">
        <v>20.370000839233398</v>
      </c>
      <c r="G107" s="7">
        <f t="shared" si="14"/>
        <v>135.28289431902385</v>
      </c>
    </row>
    <row r="108" spans="1:7">
      <c r="A108" s="2">
        <v>45223</v>
      </c>
      <c r="B108">
        <v>18.32835</v>
      </c>
      <c r="C108">
        <f t="shared" si="15"/>
        <v>7.1400000000000574E-2</v>
      </c>
      <c r="D108" s="4">
        <f t="shared" si="12"/>
        <v>1</v>
      </c>
      <c r="E108" s="5">
        <f t="shared" si="13"/>
        <v>3.8956043506371591E-3</v>
      </c>
      <c r="F108" s="7">
        <v>18.969999313354489</v>
      </c>
      <c r="G108" s="7">
        <f t="shared" si="14"/>
        <v>125.98509114430998</v>
      </c>
    </row>
    <row r="109" spans="1:7">
      <c r="A109" s="2">
        <v>45224</v>
      </c>
      <c r="B109">
        <v>18.1539</v>
      </c>
      <c r="C109">
        <f t="shared" si="15"/>
        <v>-0.17445000000000022</v>
      </c>
      <c r="D109" s="4">
        <f t="shared" si="12"/>
        <v>-1</v>
      </c>
      <c r="E109" s="5">
        <f t="shared" si="13"/>
        <v>-9.6095053955348557E-3</v>
      </c>
      <c r="F109" s="7">
        <v>20.190000534057621</v>
      </c>
      <c r="G109" s="7">
        <f t="shared" si="14"/>
        <v>134.0874617584328</v>
      </c>
    </row>
    <row r="110" spans="1:7">
      <c r="A110" s="2">
        <v>45225</v>
      </c>
      <c r="B110">
        <v>18.117750000000001</v>
      </c>
      <c r="C110">
        <f t="shared" si="15"/>
        <v>-3.6149999999999238E-2</v>
      </c>
      <c r="D110" s="4">
        <f t="shared" si="12"/>
        <v>-1</v>
      </c>
      <c r="E110" s="5">
        <f t="shared" si="13"/>
        <v>-1.9952808709690351E-3</v>
      </c>
      <c r="F110" s="7">
        <v>20.680000305175781</v>
      </c>
      <c r="G110" s="7">
        <f t="shared" si="14"/>
        <v>137.34168780268752</v>
      </c>
    </row>
    <row r="111" spans="1:7">
      <c r="A111" s="2">
        <v>45229</v>
      </c>
      <c r="B111">
        <v>18.064350000000001</v>
      </c>
      <c r="C111">
        <f t="shared" si="15"/>
        <v>-5.3399999999999892E-2</v>
      </c>
      <c r="D111" s="4">
        <f t="shared" si="12"/>
        <v>-1</v>
      </c>
      <c r="E111" s="5">
        <f t="shared" si="13"/>
        <v>-2.9560986141211774E-3</v>
      </c>
      <c r="F111" s="7">
        <v>19.75</v>
      </c>
      <c r="G111" s="7">
        <f t="shared" si="14"/>
        <v>131.16529468445876</v>
      </c>
    </row>
    <row r="112" spans="1:7">
      <c r="A112" s="2">
        <v>45230</v>
      </c>
      <c r="B112">
        <v>17.777100000000001</v>
      </c>
      <c r="C112">
        <f t="shared" si="15"/>
        <v>-0.28725000000000023</v>
      </c>
      <c r="D112" s="4">
        <f t="shared" si="12"/>
        <v>-1</v>
      </c>
      <c r="E112" s="5">
        <f t="shared" si="13"/>
        <v>-1.6158428540088102E-2</v>
      </c>
      <c r="F112" s="7">
        <v>18.139999389648441</v>
      </c>
      <c r="G112" s="7">
        <f t="shared" si="14"/>
        <v>120.47282863388051</v>
      </c>
    </row>
    <row r="113" spans="1:7">
      <c r="A113" s="2">
        <v>45231</v>
      </c>
      <c r="B113">
        <v>17.512219999999999</v>
      </c>
      <c r="C113">
        <f t="shared" si="15"/>
        <v>-0.26488000000000156</v>
      </c>
      <c r="D113" s="4">
        <f t="shared" si="12"/>
        <v>-1</v>
      </c>
      <c r="E113" s="5">
        <f t="shared" si="13"/>
        <v>-1.5125438122636741E-2</v>
      </c>
      <c r="F113" s="7">
        <v>16.870000839233398</v>
      </c>
      <c r="G113" s="7">
        <f t="shared" si="14"/>
        <v>112.03841171671472</v>
      </c>
    </row>
    <row r="114" spans="1:7">
      <c r="A114" s="2">
        <v>45232</v>
      </c>
      <c r="B114">
        <v>17.460419999999999</v>
      </c>
      <c r="C114">
        <f t="shared" si="15"/>
        <v>-5.1800000000000068E-2</v>
      </c>
      <c r="D114" s="4">
        <f t="shared" si="12"/>
        <v>-1</v>
      </c>
      <c r="E114" s="5">
        <f t="shared" si="13"/>
        <v>-2.9667098500494303E-3</v>
      </c>
      <c r="F114" s="7">
        <v>15.659999847412109</v>
      </c>
      <c r="G114" s="7">
        <f t="shared" si="14"/>
        <v>104.00245543009564</v>
      </c>
    </row>
    <row r="115" spans="1:7">
      <c r="A115" s="2">
        <v>45236</v>
      </c>
      <c r="B115">
        <v>17.476849999999999</v>
      </c>
      <c r="C115">
        <f t="shared" si="15"/>
        <v>1.6429999999999723E-2</v>
      </c>
      <c r="D115" s="4">
        <f t="shared" si="12"/>
        <v>1</v>
      </c>
      <c r="E115" s="5">
        <f t="shared" si="13"/>
        <v>9.4010076186496557E-4</v>
      </c>
      <c r="F115" s="7">
        <v>14.89000034332275</v>
      </c>
      <c r="G115" s="7">
        <f t="shared" si="14"/>
        <v>98.888672551069405</v>
      </c>
    </row>
    <row r="116" spans="1:7">
      <c r="A116" s="2">
        <v>45237</v>
      </c>
      <c r="B116">
        <v>17.536200000000001</v>
      </c>
      <c r="C116">
        <f t="shared" si="15"/>
        <v>5.9350000000002012E-2</v>
      </c>
      <c r="D116" s="4">
        <f t="shared" si="12"/>
        <v>1</v>
      </c>
      <c r="E116" s="5">
        <f t="shared" si="13"/>
        <v>3.3844276411082222E-3</v>
      </c>
      <c r="F116" s="7">
        <v>14.810000419616699</v>
      </c>
      <c r="G116" s="7">
        <f t="shared" si="14"/>
        <v>98.357370598277583</v>
      </c>
    </row>
    <row r="117" spans="1:7">
      <c r="A117" s="2">
        <v>45238</v>
      </c>
      <c r="B117">
        <v>17.821000000000002</v>
      </c>
      <c r="C117">
        <f t="shared" si="15"/>
        <v>0.28480000000000061</v>
      </c>
      <c r="D117" s="4">
        <f t="shared" si="12"/>
        <v>1</v>
      </c>
      <c r="E117" s="5">
        <f t="shared" si="13"/>
        <v>1.5981145839178531E-2</v>
      </c>
      <c r="F117" s="7">
        <v>14.44999980926514</v>
      </c>
      <c r="G117" s="7">
        <f t="shared" si="14"/>
        <v>95.966505477095438</v>
      </c>
    </row>
    <row r="118" spans="1:7">
      <c r="A118" s="2">
        <v>45239</v>
      </c>
      <c r="B118">
        <v>17.645800000000001</v>
      </c>
      <c r="C118">
        <f t="shared" si="15"/>
        <v>-0.17520000000000024</v>
      </c>
      <c r="D118" s="4">
        <f t="shared" si="12"/>
        <v>-1</v>
      </c>
      <c r="E118" s="5">
        <f t="shared" si="13"/>
        <v>-9.9287082478550261E-3</v>
      </c>
      <c r="F118" s="7">
        <v>15.289999961853029</v>
      </c>
      <c r="G118" s="7">
        <f t="shared" si="14"/>
        <v>101.54518231502865</v>
      </c>
    </row>
    <row r="119" spans="1:7">
      <c r="A119" s="2">
        <v>45243</v>
      </c>
      <c r="B119">
        <v>17.339500000000001</v>
      </c>
      <c r="C119">
        <f t="shared" si="15"/>
        <v>-0.30630000000000024</v>
      </c>
      <c r="D119" s="4">
        <f t="shared" si="12"/>
        <v>-1</v>
      </c>
      <c r="E119" s="5">
        <f t="shared" si="13"/>
        <v>-1.7664869229216541E-2</v>
      </c>
      <c r="F119" s="7">
        <v>14.760000228881839</v>
      </c>
      <c r="G119" s="7">
        <f t="shared" si="14"/>
        <v>98.025305294378001</v>
      </c>
    </row>
    <row r="120" spans="1:7">
      <c r="A120" s="2">
        <v>45244</v>
      </c>
      <c r="B120">
        <v>17.297249999999998</v>
      </c>
      <c r="C120">
        <f t="shared" si="15"/>
        <v>-4.2250000000002785E-2</v>
      </c>
      <c r="D120" s="4">
        <f t="shared" si="12"/>
        <v>-1</v>
      </c>
      <c r="E120" s="5">
        <f t="shared" si="13"/>
        <v>-2.4425848039429845E-3</v>
      </c>
      <c r="F120" s="7">
        <v>14.159999847412109</v>
      </c>
      <c r="G120" s="7">
        <f t="shared" si="14"/>
        <v>94.040534314820277</v>
      </c>
    </row>
    <row r="121" spans="1:7">
      <c r="A121" s="2">
        <v>45245</v>
      </c>
      <c r="B121">
        <v>17.22775</v>
      </c>
      <c r="C121">
        <f t="shared" si="15"/>
        <v>-6.9499999999997897E-2</v>
      </c>
      <c r="D121" s="4">
        <f t="shared" si="12"/>
        <v>-1</v>
      </c>
      <c r="E121" s="5">
        <f t="shared" si="13"/>
        <v>-4.034189026425267E-3</v>
      </c>
      <c r="F121" s="7">
        <v>14.180000305175779</v>
      </c>
      <c r="G121" s="7">
        <f t="shared" si="14"/>
        <v>94.173362969827664</v>
      </c>
    </row>
    <row r="122" spans="1:7">
      <c r="A122" s="2">
        <v>45246</v>
      </c>
      <c r="B122">
        <v>17.229050000000001</v>
      </c>
      <c r="C122">
        <f t="shared" si="15"/>
        <v>1.300000000000523E-3</v>
      </c>
      <c r="D122" s="4">
        <f t="shared" si="12"/>
        <v>1</v>
      </c>
      <c r="E122" s="5">
        <f t="shared" si="13"/>
        <v>7.5453957124770252E-5</v>
      </c>
      <c r="F122" s="7">
        <v>14.319999694824221</v>
      </c>
      <c r="G122" s="7">
        <f t="shared" si="14"/>
        <v>95.103138220403977</v>
      </c>
    </row>
    <row r="123" spans="1:7">
      <c r="A123" s="2">
        <v>45250</v>
      </c>
      <c r="B123">
        <v>17.196950000000001</v>
      </c>
      <c r="C123">
        <f t="shared" si="15"/>
        <v>-3.2099999999999795E-2</v>
      </c>
      <c r="D123" s="4">
        <f t="shared" si="12"/>
        <v>-1</v>
      </c>
      <c r="E123" s="5">
        <f t="shared" si="13"/>
        <v>-1.8666100674828846E-3</v>
      </c>
      <c r="F123" s="7">
        <v>13.409999847412109</v>
      </c>
      <c r="G123" s="7">
        <f t="shared" si="14"/>
        <v>89.059573757182605</v>
      </c>
    </row>
    <row r="124" spans="1:7">
      <c r="A124" s="2">
        <v>45251</v>
      </c>
      <c r="B124">
        <v>17.19445</v>
      </c>
      <c r="C124">
        <f t="shared" si="15"/>
        <v>-2.500000000001279E-3</v>
      </c>
      <c r="D124" s="4">
        <f t="shared" si="12"/>
        <v>-1</v>
      </c>
      <c r="E124" s="5">
        <f t="shared" si="13"/>
        <v>-1.4539575269934652E-4</v>
      </c>
      <c r="F124" s="7">
        <v>13.35000038146973</v>
      </c>
      <c r="G124" s="7">
        <f t="shared" si="14"/>
        <v>88.661100459398185</v>
      </c>
    </row>
    <row r="125" spans="1:7">
      <c r="A125" s="2">
        <v>45252</v>
      </c>
      <c r="B125">
        <v>17.1861</v>
      </c>
      <c r="C125">
        <f t="shared" si="15"/>
        <v>-8.3500000000000796E-3</v>
      </c>
      <c r="D125" s="4">
        <f t="shared" si="12"/>
        <v>-1</v>
      </c>
      <c r="E125" s="5">
        <f t="shared" si="13"/>
        <v>-4.8585775714094995E-4</v>
      </c>
      <c r="F125" s="7">
        <v>12.85000038146973</v>
      </c>
      <c r="G125" s="7">
        <f t="shared" si="14"/>
        <v>85.340460087639741</v>
      </c>
    </row>
    <row r="126" spans="1:7">
      <c r="A126" s="2">
        <v>45257</v>
      </c>
      <c r="B126">
        <v>17.140550000000001</v>
      </c>
      <c r="C126">
        <f t="shared" si="15"/>
        <v>-4.5549999999998647E-2</v>
      </c>
      <c r="D126" s="4">
        <f t="shared" si="12"/>
        <v>-1</v>
      </c>
      <c r="E126" s="5">
        <f t="shared" si="13"/>
        <v>-2.6574409805985599E-3</v>
      </c>
      <c r="F126" s="7">
        <v>12.689999580383301</v>
      </c>
      <c r="G126" s="7">
        <f t="shared" si="14"/>
        <v>84.277849848437143</v>
      </c>
    </row>
    <row r="127" spans="1:7">
      <c r="A127" s="2">
        <v>45258</v>
      </c>
      <c r="B127">
        <v>17.283550000000002</v>
      </c>
      <c r="C127">
        <f t="shared" si="15"/>
        <v>0.14300000000000068</v>
      </c>
      <c r="D127" s="4">
        <f t="shared" si="12"/>
        <v>1</v>
      </c>
      <c r="E127" s="5">
        <f t="shared" si="13"/>
        <v>8.2737632025828411E-3</v>
      </c>
      <c r="F127" s="7">
        <v>12.689999580383301</v>
      </c>
      <c r="G127" s="7">
        <f t="shared" si="14"/>
        <v>84.277849848437143</v>
      </c>
    </row>
    <row r="128" spans="1:7">
      <c r="A128" s="2">
        <v>45259</v>
      </c>
      <c r="B128">
        <v>17.3902</v>
      </c>
      <c r="C128">
        <f t="shared" si="15"/>
        <v>0.10664999999999836</v>
      </c>
      <c r="D128" s="4">
        <f t="shared" si="12"/>
        <v>1</v>
      </c>
      <c r="E128" s="5">
        <f t="shared" si="13"/>
        <v>6.1327644305412448E-3</v>
      </c>
      <c r="F128" s="7">
        <v>12.97999954223633</v>
      </c>
      <c r="G128" s="7">
        <f t="shared" si="14"/>
        <v>86.203821010712318</v>
      </c>
    </row>
    <row r="129" spans="1:7">
      <c r="A129" s="2">
        <v>45260</v>
      </c>
      <c r="B129">
        <v>17.18655</v>
      </c>
      <c r="C129">
        <f t="shared" si="15"/>
        <v>-0.20364999999999966</v>
      </c>
      <c r="D129" s="4">
        <f t="shared" si="12"/>
        <v>-1</v>
      </c>
      <c r="E129" s="5">
        <f t="shared" si="13"/>
        <v>-1.1849382220399071E-2</v>
      </c>
      <c r="F129" s="7">
        <v>12.920000076293951</v>
      </c>
      <c r="G129" s="7">
        <f t="shared" si="14"/>
        <v>85.805347712927897</v>
      </c>
    </row>
    <row r="130" spans="1:7">
      <c r="A130" s="2">
        <v>45264</v>
      </c>
      <c r="B130">
        <v>17.378499999999999</v>
      </c>
      <c r="C130">
        <f t="shared" si="15"/>
        <v>0.19194999999999851</v>
      </c>
      <c r="D130" s="4">
        <f t="shared" ref="D130:D161" si="16">IF(C130&gt;0,1,IF(C130&lt;0,-1,0))</f>
        <v>1</v>
      </c>
      <c r="E130" s="5">
        <f t="shared" ref="E130:E161" si="17">C130/B130</f>
        <v>1.1045257070518084E-2</v>
      </c>
      <c r="F130" s="7">
        <v>13.079999923706049</v>
      </c>
      <c r="G130" s="7">
        <f t="shared" ref="G130:G161" si="18">F130/$F$202*100</f>
        <v>86.867951618511498</v>
      </c>
    </row>
    <row r="131" spans="1:7">
      <c r="A131" s="2">
        <v>45265</v>
      </c>
      <c r="B131">
        <v>17.277200000000001</v>
      </c>
      <c r="C131">
        <f t="shared" ref="C131:C162" si="19">B131-B130</f>
        <v>-0.10129999999999839</v>
      </c>
      <c r="D131" s="4">
        <f t="shared" si="16"/>
        <v>-1</v>
      </c>
      <c r="E131" s="5">
        <f t="shared" si="17"/>
        <v>-5.8632185770841564E-3</v>
      </c>
      <c r="F131" s="7">
        <v>12.85000038146973</v>
      </c>
      <c r="G131" s="7">
        <f t="shared" si="18"/>
        <v>85.340460087639741</v>
      </c>
    </row>
    <row r="132" spans="1:7">
      <c r="A132" s="2">
        <v>45266</v>
      </c>
      <c r="B132">
        <v>17.4757</v>
      </c>
      <c r="C132">
        <f t="shared" si="19"/>
        <v>0.19849999999999923</v>
      </c>
      <c r="D132" s="4">
        <f t="shared" si="16"/>
        <v>1</v>
      </c>
      <c r="E132" s="5">
        <f t="shared" si="17"/>
        <v>1.1358629411125119E-2</v>
      </c>
      <c r="F132" s="7">
        <v>12.97000026702881</v>
      </c>
      <c r="G132" s="7">
        <f t="shared" si="18"/>
        <v>86.13741301682748</v>
      </c>
    </row>
    <row r="133" spans="1:7">
      <c r="A133" s="2">
        <v>45267</v>
      </c>
      <c r="B133">
        <v>17.34675</v>
      </c>
      <c r="C133">
        <f t="shared" si="19"/>
        <v>-0.12894999999999968</v>
      </c>
      <c r="D133" s="4">
        <f t="shared" si="16"/>
        <v>-1</v>
      </c>
      <c r="E133" s="5">
        <f t="shared" si="17"/>
        <v>-7.4336691311052312E-3</v>
      </c>
      <c r="F133" s="7">
        <v>13.060000419616699</v>
      </c>
      <c r="G133" s="7">
        <f t="shared" si="18"/>
        <v>86.735129297123009</v>
      </c>
    </row>
    <row r="134" spans="1:7">
      <c r="A134" s="2">
        <v>45271</v>
      </c>
      <c r="B134">
        <v>17.3062</v>
      </c>
      <c r="C134">
        <f t="shared" si="19"/>
        <v>-4.0549999999999642E-2</v>
      </c>
      <c r="D134" s="4">
        <f t="shared" si="16"/>
        <v>-1</v>
      </c>
      <c r="E134" s="5">
        <f t="shared" si="17"/>
        <v>-2.343090915394462E-3</v>
      </c>
      <c r="F134" s="7">
        <v>12.63000011444092</v>
      </c>
      <c r="G134" s="7">
        <f t="shared" si="18"/>
        <v>83.879376550652722</v>
      </c>
    </row>
    <row r="135" spans="1:7">
      <c r="A135" s="2">
        <v>45272</v>
      </c>
      <c r="B135">
        <v>17.235050000000001</v>
      </c>
      <c r="C135">
        <f t="shared" si="19"/>
        <v>-7.114999999999938E-2</v>
      </c>
      <c r="D135" s="4">
        <f t="shared" si="16"/>
        <v>-1</v>
      </c>
      <c r="E135" s="5">
        <f t="shared" si="17"/>
        <v>-4.128215467898229E-3</v>
      </c>
      <c r="F135" s="7">
        <v>12.069999694824221</v>
      </c>
      <c r="G135" s="7">
        <f t="shared" si="18"/>
        <v>80.160256547490945</v>
      </c>
    </row>
    <row r="136" spans="1:7">
      <c r="A136" s="2">
        <v>45273</v>
      </c>
      <c r="B136">
        <v>17.196100000000001</v>
      </c>
      <c r="C136">
        <f t="shared" si="19"/>
        <v>-3.8949999999999818E-2</v>
      </c>
      <c r="D136" s="4">
        <f t="shared" si="16"/>
        <v>-1</v>
      </c>
      <c r="E136" s="5">
        <f t="shared" si="17"/>
        <v>-2.265048470292672E-3</v>
      </c>
      <c r="F136" s="7">
        <v>12.189999580383301</v>
      </c>
      <c r="G136" s="7">
        <f t="shared" si="18"/>
        <v>80.957209476678699</v>
      </c>
    </row>
    <row r="137" spans="1:7">
      <c r="A137" s="2">
        <v>45274</v>
      </c>
      <c r="B137">
        <v>17.20665</v>
      </c>
      <c r="C137">
        <f t="shared" si="19"/>
        <v>1.0549999999998505E-2</v>
      </c>
      <c r="D137" s="4">
        <f t="shared" si="16"/>
        <v>1</v>
      </c>
      <c r="E137" s="5">
        <f t="shared" si="17"/>
        <v>6.1313503790676887E-4</v>
      </c>
      <c r="F137" s="7">
        <v>12.47999954223633</v>
      </c>
      <c r="G137" s="7">
        <f t="shared" si="18"/>
        <v>82.88318063895386</v>
      </c>
    </row>
    <row r="138" spans="1:7">
      <c r="A138" s="2">
        <v>45278</v>
      </c>
      <c r="B138">
        <v>17.070699999999999</v>
      </c>
      <c r="C138">
        <f t="shared" si="19"/>
        <v>-0.13595000000000113</v>
      </c>
      <c r="D138" s="4">
        <f t="shared" si="16"/>
        <v>-1</v>
      </c>
      <c r="E138" s="5">
        <f t="shared" si="17"/>
        <v>-7.9639382099153007E-3</v>
      </c>
      <c r="F138" s="7">
        <v>12.560000419616699</v>
      </c>
      <c r="G138" s="7">
        <f t="shared" si="18"/>
        <v>83.414488925364566</v>
      </c>
    </row>
    <row r="139" spans="1:7">
      <c r="A139" s="2">
        <v>45279</v>
      </c>
      <c r="B139">
        <v>17.145350000000001</v>
      </c>
      <c r="C139">
        <f t="shared" si="19"/>
        <v>7.4650000000001882E-2</v>
      </c>
      <c r="D139" s="4">
        <f t="shared" si="16"/>
        <v>1</v>
      </c>
      <c r="E139" s="5">
        <f t="shared" si="17"/>
        <v>4.3539501964090484E-3</v>
      </c>
      <c r="F139" s="7">
        <v>12.52999973297119</v>
      </c>
      <c r="G139" s="7">
        <f t="shared" si="18"/>
        <v>83.215245942853457</v>
      </c>
    </row>
    <row r="140" spans="1:7">
      <c r="A140" s="2">
        <v>45280</v>
      </c>
      <c r="B140">
        <v>17.023250000000001</v>
      </c>
      <c r="C140">
        <f t="shared" si="19"/>
        <v>-0.12209999999999965</v>
      </c>
      <c r="D140" s="4">
        <f t="shared" si="16"/>
        <v>-1</v>
      </c>
      <c r="E140" s="5">
        <f t="shared" si="17"/>
        <v>-7.1725434332456876E-3</v>
      </c>
      <c r="F140" s="7">
        <v>13.670000076293951</v>
      </c>
      <c r="G140" s="7">
        <f t="shared" si="18"/>
        <v>90.78630827056557</v>
      </c>
    </row>
    <row r="141" spans="1:7">
      <c r="A141" s="2">
        <v>45281</v>
      </c>
      <c r="B141">
        <v>16.978249999999999</v>
      </c>
      <c r="C141">
        <f t="shared" si="19"/>
        <v>-4.5000000000001705E-2</v>
      </c>
      <c r="D141" s="4">
        <f t="shared" si="16"/>
        <v>-1</v>
      </c>
      <c r="E141" s="5">
        <f t="shared" si="17"/>
        <v>-2.650449840236874E-3</v>
      </c>
      <c r="F141" s="7">
        <v>13.64999961853027</v>
      </c>
      <c r="G141" s="7">
        <f t="shared" si="18"/>
        <v>90.653479615558112</v>
      </c>
    </row>
    <row r="142" spans="1:7">
      <c r="A142" s="2">
        <v>45286</v>
      </c>
      <c r="B142">
        <v>16.919799999999999</v>
      </c>
      <c r="C142">
        <f t="shared" si="19"/>
        <v>-5.8450000000000557E-2</v>
      </c>
      <c r="D142" s="4">
        <f t="shared" si="16"/>
        <v>-1</v>
      </c>
      <c r="E142" s="5">
        <f t="shared" si="17"/>
        <v>-3.4545325594865519E-3</v>
      </c>
      <c r="F142" s="7">
        <v>12.989999771118161</v>
      </c>
      <c r="G142" s="7">
        <f t="shared" si="18"/>
        <v>86.270235338215969</v>
      </c>
    </row>
    <row r="143" spans="1:7">
      <c r="A143" s="2">
        <v>45287</v>
      </c>
      <c r="B143">
        <v>16.962299999999999</v>
      </c>
      <c r="C143">
        <f t="shared" si="19"/>
        <v>4.2500000000000426E-2</v>
      </c>
      <c r="D143" s="4">
        <f t="shared" si="16"/>
        <v>1</v>
      </c>
      <c r="E143" s="5">
        <f t="shared" si="17"/>
        <v>2.5055564398696185E-3</v>
      </c>
      <c r="F143" s="7">
        <v>12.430000305175779</v>
      </c>
      <c r="G143" s="7">
        <f t="shared" si="18"/>
        <v>82.55112166867309</v>
      </c>
    </row>
    <row r="144" spans="1:7">
      <c r="A144" s="2">
        <v>45288</v>
      </c>
      <c r="B144">
        <v>16.973500000000001</v>
      </c>
      <c r="C144">
        <f t="shared" si="19"/>
        <v>1.1200000000002319E-2</v>
      </c>
      <c r="D144" s="4">
        <f t="shared" si="16"/>
        <v>1</v>
      </c>
      <c r="E144" s="5">
        <f t="shared" si="17"/>
        <v>6.5985212242627143E-4</v>
      </c>
      <c r="F144" s="7">
        <v>12.47000026702881</v>
      </c>
      <c r="G144" s="7">
        <f t="shared" si="18"/>
        <v>82.816772645069037</v>
      </c>
    </row>
    <row r="145" spans="1:7">
      <c r="A145" s="2">
        <v>45293</v>
      </c>
      <c r="B145">
        <v>17.016300000000001</v>
      </c>
      <c r="C145">
        <f t="shared" si="19"/>
        <v>4.2799999999999727E-2</v>
      </c>
      <c r="D145" s="4">
        <f t="shared" si="16"/>
        <v>1</v>
      </c>
      <c r="E145" s="5">
        <f t="shared" si="17"/>
        <v>2.5152353919477045E-3</v>
      </c>
      <c r="F145" s="7">
        <v>13.19999980926514</v>
      </c>
      <c r="G145" s="7">
        <f t="shared" si="18"/>
        <v>87.664904547699322</v>
      </c>
    </row>
    <row r="146" spans="1:7">
      <c r="A146" s="2">
        <v>45294</v>
      </c>
      <c r="B146">
        <v>17.014500000000002</v>
      </c>
      <c r="C146">
        <f t="shared" si="19"/>
        <v>-1.7999999999993577E-3</v>
      </c>
      <c r="D146" s="4">
        <f t="shared" si="16"/>
        <v>-1</v>
      </c>
      <c r="E146" s="5">
        <f t="shared" si="17"/>
        <v>-1.0579211848713495E-4</v>
      </c>
      <c r="F146" s="7">
        <v>14.039999961853029</v>
      </c>
      <c r="G146" s="7">
        <f t="shared" si="18"/>
        <v>93.243581385632524</v>
      </c>
    </row>
    <row r="147" spans="1:7">
      <c r="A147" s="2">
        <v>45295</v>
      </c>
      <c r="B147">
        <v>16.883700000000001</v>
      </c>
      <c r="C147">
        <f t="shared" si="19"/>
        <v>-0.13080000000000069</v>
      </c>
      <c r="D147" s="4">
        <f t="shared" si="16"/>
        <v>-1</v>
      </c>
      <c r="E147" s="5">
        <f t="shared" si="17"/>
        <v>-7.7471170418806712E-3</v>
      </c>
      <c r="F147" s="7">
        <v>14.13000011444092</v>
      </c>
      <c r="G147" s="7">
        <f t="shared" si="18"/>
        <v>93.841297665928067</v>
      </c>
    </row>
    <row r="148" spans="1:7">
      <c r="A148" s="2">
        <v>45299</v>
      </c>
      <c r="B148">
        <v>16.96866</v>
      </c>
      <c r="C148">
        <f t="shared" si="19"/>
        <v>8.4959999999998814E-2</v>
      </c>
      <c r="D148" s="4">
        <f t="shared" si="16"/>
        <v>1</v>
      </c>
      <c r="E148" s="5">
        <f t="shared" si="17"/>
        <v>5.0068773845429642E-3</v>
      </c>
      <c r="F148" s="7">
        <v>13.079999923706049</v>
      </c>
      <c r="G148" s="7">
        <f t="shared" si="18"/>
        <v>86.867951618511498</v>
      </c>
    </row>
    <row r="149" spans="1:7">
      <c r="A149" s="2">
        <v>45300</v>
      </c>
      <c r="B149">
        <v>16.973500000000001</v>
      </c>
      <c r="C149">
        <f t="shared" si="19"/>
        <v>4.8400000000015098E-3</v>
      </c>
      <c r="D149" s="4">
        <f t="shared" si="16"/>
        <v>1</v>
      </c>
      <c r="E149" s="5">
        <f t="shared" si="17"/>
        <v>2.8515038147709722E-4</v>
      </c>
      <c r="F149" s="7">
        <v>12.760000228881839</v>
      </c>
      <c r="G149" s="7">
        <f t="shared" si="18"/>
        <v>84.742743807344183</v>
      </c>
    </row>
    <row r="150" spans="1:7">
      <c r="A150" s="2">
        <v>45301</v>
      </c>
      <c r="B150">
        <v>16.915500000000002</v>
      </c>
      <c r="C150">
        <f t="shared" si="19"/>
        <v>-5.7999999999999829E-2</v>
      </c>
      <c r="D150" s="4">
        <f t="shared" si="16"/>
        <v>-1</v>
      </c>
      <c r="E150" s="5">
        <f t="shared" si="17"/>
        <v>-3.4288078980816306E-3</v>
      </c>
      <c r="F150" s="7">
        <v>12.689999580383301</v>
      </c>
      <c r="G150" s="7">
        <f t="shared" si="18"/>
        <v>84.277849848437143</v>
      </c>
    </row>
    <row r="151" spans="1:7">
      <c r="A151" s="2">
        <v>45302</v>
      </c>
      <c r="B151">
        <v>16.864550000000001</v>
      </c>
      <c r="C151">
        <f t="shared" si="19"/>
        <v>-5.0950000000000273E-2</v>
      </c>
      <c r="D151" s="4">
        <f t="shared" si="16"/>
        <v>-1</v>
      </c>
      <c r="E151" s="5">
        <f t="shared" si="17"/>
        <v>-3.0211301220607885E-3</v>
      </c>
      <c r="F151" s="7">
        <v>12.439999580383301</v>
      </c>
      <c r="G151" s="7">
        <f t="shared" si="18"/>
        <v>82.617529662557928</v>
      </c>
    </row>
    <row r="152" spans="1:7">
      <c r="A152" s="2">
        <v>45307</v>
      </c>
      <c r="B152">
        <v>17.196149999999999</v>
      </c>
      <c r="C152">
        <f t="shared" si="19"/>
        <v>0.33159999999999812</v>
      </c>
      <c r="D152" s="4">
        <f t="shared" si="16"/>
        <v>1</v>
      </c>
      <c r="E152" s="5">
        <f t="shared" si="17"/>
        <v>1.9283386106773791E-2</v>
      </c>
      <c r="F152" s="7">
        <v>13.840000152587891</v>
      </c>
      <c r="G152" s="7">
        <f t="shared" si="18"/>
        <v>91.915326503652906</v>
      </c>
    </row>
    <row r="153" spans="1:7">
      <c r="A153" s="2">
        <v>45308</v>
      </c>
      <c r="B153">
        <v>17.16675</v>
      </c>
      <c r="C153">
        <f t="shared" si="19"/>
        <v>-2.9399999999998983E-2</v>
      </c>
      <c r="D153" s="4">
        <f t="shared" si="16"/>
        <v>-1</v>
      </c>
      <c r="E153" s="5">
        <f t="shared" si="17"/>
        <v>-1.7126130455676807E-3</v>
      </c>
      <c r="F153" s="7">
        <v>14.789999961853029</v>
      </c>
      <c r="G153" s="7">
        <f t="shared" si="18"/>
        <v>98.224541943270211</v>
      </c>
    </row>
    <row r="154" spans="1:7">
      <c r="A154" s="2">
        <v>45309</v>
      </c>
      <c r="B154">
        <v>17.081150000000001</v>
      </c>
      <c r="C154">
        <f t="shared" si="19"/>
        <v>-8.5599999999999454E-2</v>
      </c>
      <c r="D154" s="4">
        <f t="shared" si="16"/>
        <v>-1</v>
      </c>
      <c r="E154" s="5">
        <f t="shared" si="17"/>
        <v>-5.011372185128018E-3</v>
      </c>
      <c r="F154" s="7">
        <v>14.13000011444092</v>
      </c>
      <c r="G154" s="7">
        <f t="shared" si="18"/>
        <v>93.841297665928067</v>
      </c>
    </row>
    <row r="155" spans="1:7">
      <c r="A155" s="2">
        <v>45313</v>
      </c>
      <c r="B155">
        <v>17.302299999999999</v>
      </c>
      <c r="C155">
        <f t="shared" si="19"/>
        <v>0.22114999999999796</v>
      </c>
      <c r="D155" s="4">
        <f t="shared" si="16"/>
        <v>1</v>
      </c>
      <c r="E155" s="5">
        <f t="shared" si="17"/>
        <v>1.2781537714638977E-2</v>
      </c>
      <c r="F155" s="7">
        <v>13.189999580383301</v>
      </c>
      <c r="G155" s="7">
        <f t="shared" si="18"/>
        <v>87.5984902201956</v>
      </c>
    </row>
    <row r="156" spans="1:7">
      <c r="A156" s="2">
        <v>45314</v>
      </c>
      <c r="B156">
        <v>17.227599999999999</v>
      </c>
      <c r="C156">
        <f t="shared" si="19"/>
        <v>-7.4699999999999989E-2</v>
      </c>
      <c r="D156" s="4">
        <f t="shared" si="16"/>
        <v>-1</v>
      </c>
      <c r="E156" s="5">
        <f t="shared" si="17"/>
        <v>-4.3360653834544566E-3</v>
      </c>
      <c r="F156" s="7">
        <v>12.55000019073486</v>
      </c>
      <c r="G156" s="7">
        <f t="shared" si="18"/>
        <v>83.348074597860844</v>
      </c>
    </row>
    <row r="157" spans="1:7">
      <c r="A157" s="2">
        <v>45315</v>
      </c>
      <c r="B157">
        <v>17.19725</v>
      </c>
      <c r="C157">
        <f t="shared" si="19"/>
        <v>-3.0349999999998545E-2</v>
      </c>
      <c r="D157" s="4">
        <f t="shared" si="16"/>
        <v>-1</v>
      </c>
      <c r="E157" s="5">
        <f t="shared" si="17"/>
        <v>-1.7648170492374387E-3</v>
      </c>
      <c r="F157" s="7">
        <v>13.14000034332275</v>
      </c>
      <c r="G157" s="7">
        <f t="shared" si="18"/>
        <v>87.266431249914831</v>
      </c>
    </row>
    <row r="158" spans="1:7">
      <c r="A158" s="2">
        <v>45316</v>
      </c>
      <c r="B158">
        <v>17.158200000000001</v>
      </c>
      <c r="C158">
        <f t="shared" si="19"/>
        <v>-3.9049999999999585E-2</v>
      </c>
      <c r="D158" s="4">
        <f t="shared" si="16"/>
        <v>-1</v>
      </c>
      <c r="E158" s="5">
        <f t="shared" si="17"/>
        <v>-2.2758797542865557E-3</v>
      </c>
      <c r="F158" s="7">
        <v>13.44999980926514</v>
      </c>
      <c r="G158" s="7">
        <f t="shared" si="18"/>
        <v>89.325224733578551</v>
      </c>
    </row>
    <row r="159" spans="1:7">
      <c r="A159" s="2">
        <v>45320</v>
      </c>
      <c r="B159">
        <v>17.151599999999998</v>
      </c>
      <c r="C159">
        <f t="shared" si="19"/>
        <v>-6.6000000000023817E-3</v>
      </c>
      <c r="D159" s="4">
        <f t="shared" si="16"/>
        <v>-1</v>
      </c>
      <c r="E159" s="5">
        <f t="shared" si="17"/>
        <v>-3.8480375008759427E-4</v>
      </c>
      <c r="F159" s="7">
        <v>13.60000038146973</v>
      </c>
      <c r="G159" s="7">
        <f t="shared" si="18"/>
        <v>90.321420645277399</v>
      </c>
    </row>
    <row r="160" spans="1:7">
      <c r="A160" s="2">
        <v>45321</v>
      </c>
      <c r="B160">
        <v>17.216750000000001</v>
      </c>
      <c r="C160">
        <f t="shared" si="19"/>
        <v>6.5150000000002706E-2</v>
      </c>
      <c r="D160" s="4">
        <f t="shared" si="16"/>
        <v>1</v>
      </c>
      <c r="E160" s="5">
        <f t="shared" si="17"/>
        <v>3.7841055948423892E-3</v>
      </c>
      <c r="F160" s="7">
        <v>13.310000419616699</v>
      </c>
      <c r="G160" s="7">
        <f t="shared" si="18"/>
        <v>88.395449483002238</v>
      </c>
    </row>
    <row r="161" spans="1:7">
      <c r="A161" s="2">
        <v>45322</v>
      </c>
      <c r="B161">
        <v>17.080500000000001</v>
      </c>
      <c r="C161">
        <f t="shared" si="19"/>
        <v>-0.13625000000000043</v>
      </c>
      <c r="D161" s="4">
        <f t="shared" si="16"/>
        <v>-1</v>
      </c>
      <c r="E161" s="5">
        <f t="shared" si="17"/>
        <v>-7.9769327595796621E-3</v>
      </c>
      <c r="F161" s="7">
        <v>14.35000038146973</v>
      </c>
      <c r="G161" s="7">
        <f t="shared" si="18"/>
        <v>95.302381202915072</v>
      </c>
    </row>
    <row r="162" spans="1:7">
      <c r="A162" s="2">
        <v>45323</v>
      </c>
      <c r="B162">
        <v>17.1448</v>
      </c>
      <c r="C162">
        <f t="shared" si="19"/>
        <v>6.4299999999999358E-2</v>
      </c>
      <c r="D162" s="4">
        <f t="shared" ref="D162:D193" si="20">IF(C162&gt;0,1,IF(C162&lt;0,-1,0))</f>
        <v>1</v>
      </c>
      <c r="E162" s="5">
        <f t="shared" ref="E162:E193" si="21">C162/B162</f>
        <v>3.7504082870607621E-3</v>
      </c>
      <c r="F162" s="7">
        <v>13.88000011444092</v>
      </c>
      <c r="G162" s="7">
        <f t="shared" ref="G162:G193" si="22">F162/$F$202*100</f>
        <v>92.180977480048838</v>
      </c>
    </row>
    <row r="163" spans="1:7">
      <c r="A163" s="2">
        <v>45327</v>
      </c>
      <c r="B163">
        <v>17.039950000000001</v>
      </c>
      <c r="C163">
        <f t="shared" ref="C163:C194" si="23">B163-B162</f>
        <v>-0.104849999999999</v>
      </c>
      <c r="D163" s="4">
        <f t="shared" si="20"/>
        <v>-1</v>
      </c>
      <c r="E163" s="5">
        <f t="shared" si="21"/>
        <v>-6.1531870692108246E-3</v>
      </c>
      <c r="F163" s="7">
        <v>13.670000076293951</v>
      </c>
      <c r="G163" s="7">
        <f t="shared" si="22"/>
        <v>90.78630827056557</v>
      </c>
    </row>
    <row r="164" spans="1:7">
      <c r="A164" s="2">
        <v>45328</v>
      </c>
      <c r="B164">
        <v>17.047599999999999</v>
      </c>
      <c r="C164">
        <f t="shared" si="23"/>
        <v>7.6499999999981583E-3</v>
      </c>
      <c r="D164" s="4">
        <f t="shared" si="20"/>
        <v>1</v>
      </c>
      <c r="E164" s="5">
        <f t="shared" si="21"/>
        <v>4.487435181490743E-4</v>
      </c>
      <c r="F164" s="7">
        <v>13.060000419616699</v>
      </c>
      <c r="G164" s="7">
        <f t="shared" si="22"/>
        <v>86.735129297123009</v>
      </c>
    </row>
    <row r="165" spans="1:7">
      <c r="A165" s="2">
        <v>45329</v>
      </c>
      <c r="B165">
        <v>17.145800000000001</v>
      </c>
      <c r="C165">
        <f t="shared" si="23"/>
        <v>9.8200000000002063E-2</v>
      </c>
      <c r="D165" s="4">
        <f t="shared" si="20"/>
        <v>1</v>
      </c>
      <c r="E165" s="5">
        <f t="shared" si="21"/>
        <v>5.7273501382263912E-3</v>
      </c>
      <c r="F165" s="7">
        <v>12.829999923706049</v>
      </c>
      <c r="G165" s="7">
        <f t="shared" si="22"/>
        <v>85.207631432632283</v>
      </c>
    </row>
    <row r="166" spans="1:7">
      <c r="A166" s="2">
        <v>45330</v>
      </c>
      <c r="B166">
        <v>17.088650000000001</v>
      </c>
      <c r="C166">
        <f t="shared" si="23"/>
        <v>-5.7150000000000034E-2</v>
      </c>
      <c r="D166" s="4">
        <f t="shared" si="20"/>
        <v>-1</v>
      </c>
      <c r="E166" s="5">
        <f t="shared" si="21"/>
        <v>-3.3443250344526942E-3</v>
      </c>
      <c r="F166" s="7">
        <v>12.789999961853029</v>
      </c>
      <c r="G166" s="7">
        <f t="shared" si="22"/>
        <v>84.941980456236394</v>
      </c>
    </row>
    <row r="167" spans="1:7">
      <c r="A167" s="2">
        <v>45334</v>
      </c>
      <c r="B167">
        <v>17.198049999999999</v>
      </c>
      <c r="C167">
        <f t="shared" si="23"/>
        <v>0.10939999999999728</v>
      </c>
      <c r="D167" s="4">
        <f t="shared" si="20"/>
        <v>1</v>
      </c>
      <c r="E167" s="5">
        <f t="shared" si="21"/>
        <v>6.3611862972835463E-3</v>
      </c>
      <c r="F167" s="7">
        <v>13.930000305175779</v>
      </c>
      <c r="G167" s="7">
        <f t="shared" si="22"/>
        <v>92.513042783948435</v>
      </c>
    </row>
    <row r="168" spans="1:7">
      <c r="A168" s="2">
        <v>45335</v>
      </c>
      <c r="B168">
        <v>17.083100000000002</v>
      </c>
      <c r="C168">
        <f t="shared" si="23"/>
        <v>-0.11494999999999678</v>
      </c>
      <c r="D168" s="4">
        <f t="shared" si="20"/>
        <v>-1</v>
      </c>
      <c r="E168" s="5">
        <f t="shared" si="21"/>
        <v>-6.7288723943544652E-3</v>
      </c>
      <c r="F168" s="7">
        <v>15.85000038146973</v>
      </c>
      <c r="G168" s="7">
        <f t="shared" si="22"/>
        <v>105.26430231819045</v>
      </c>
    </row>
    <row r="169" spans="1:7">
      <c r="A169" s="2">
        <v>45336</v>
      </c>
      <c r="B169">
        <v>17.041599999999999</v>
      </c>
      <c r="C169">
        <f t="shared" si="23"/>
        <v>-4.1500000000002757E-2</v>
      </c>
      <c r="D169" s="4">
        <f t="shared" si="20"/>
        <v>-1</v>
      </c>
      <c r="E169" s="5">
        <f t="shared" si="21"/>
        <v>-2.4352173504836845E-3</v>
      </c>
      <c r="F169" s="7">
        <v>14.38000011444092</v>
      </c>
      <c r="G169" s="7">
        <f t="shared" si="22"/>
        <v>95.501617851807296</v>
      </c>
    </row>
    <row r="170" spans="1:7">
      <c r="A170" s="2">
        <v>45337</v>
      </c>
      <c r="B170">
        <v>17.055399999999999</v>
      </c>
      <c r="C170">
        <f t="shared" si="23"/>
        <v>1.3799999999999812E-2</v>
      </c>
      <c r="D170" s="4">
        <f t="shared" si="20"/>
        <v>1</v>
      </c>
      <c r="E170" s="5">
        <f t="shared" si="21"/>
        <v>8.0912790084077847E-4</v>
      </c>
      <c r="F170" s="7">
        <v>14.010000228881839</v>
      </c>
      <c r="G170" s="7">
        <f t="shared" si="22"/>
        <v>93.044344736740314</v>
      </c>
    </row>
    <row r="171" spans="1:7">
      <c r="A171" s="2">
        <v>45342</v>
      </c>
      <c r="B171">
        <v>17.0426</v>
      </c>
      <c r="C171">
        <f t="shared" si="23"/>
        <v>-1.279999999999859E-2</v>
      </c>
      <c r="D171" s="4">
        <f t="shared" si="20"/>
        <v>-1</v>
      </c>
      <c r="E171" s="5">
        <f t="shared" si="21"/>
        <v>-7.5105911069898903E-4</v>
      </c>
      <c r="F171" s="7">
        <v>15.420000076293951</v>
      </c>
      <c r="G171" s="7">
        <f t="shared" si="22"/>
        <v>102.40854957172014</v>
      </c>
    </row>
    <row r="172" spans="1:7">
      <c r="A172" s="2">
        <v>45343</v>
      </c>
      <c r="B172">
        <v>17.1084</v>
      </c>
      <c r="C172">
        <f t="shared" si="23"/>
        <v>6.5799999999999415E-2</v>
      </c>
      <c r="D172" s="4">
        <f t="shared" si="20"/>
        <v>1</v>
      </c>
      <c r="E172" s="5">
        <f t="shared" si="21"/>
        <v>3.8460639218161497E-3</v>
      </c>
      <c r="F172" s="7">
        <v>15.340000152587891</v>
      </c>
      <c r="G172" s="7">
        <f t="shared" si="22"/>
        <v>101.87724761892827</v>
      </c>
    </row>
    <row r="173" spans="1:7">
      <c r="A173" s="2">
        <v>45344</v>
      </c>
      <c r="B173">
        <v>17.121300000000002</v>
      </c>
      <c r="C173">
        <f t="shared" si="23"/>
        <v>1.290000000000191E-2</v>
      </c>
      <c r="D173" s="4">
        <f t="shared" si="20"/>
        <v>1</v>
      </c>
      <c r="E173" s="5">
        <f t="shared" si="21"/>
        <v>7.5344746018128931E-4</v>
      </c>
      <c r="F173" s="7">
        <v>14.539999961853029</v>
      </c>
      <c r="G173" s="7">
        <f t="shared" si="22"/>
        <v>96.564221757390982</v>
      </c>
    </row>
    <row r="174" spans="1:7">
      <c r="A174" s="2">
        <v>45348</v>
      </c>
      <c r="B174">
        <v>17.0623</v>
      </c>
      <c r="C174">
        <f t="shared" si="23"/>
        <v>-5.9000000000001052E-2</v>
      </c>
      <c r="D174" s="4">
        <f t="shared" si="20"/>
        <v>-1</v>
      </c>
      <c r="E174" s="5">
        <f t="shared" si="21"/>
        <v>-3.457915990224123E-3</v>
      </c>
      <c r="F174" s="7">
        <v>13.739999771118161</v>
      </c>
      <c r="G174" s="7">
        <f t="shared" si="22"/>
        <v>91.251195895853641</v>
      </c>
    </row>
    <row r="175" spans="1:7">
      <c r="A175" s="2">
        <v>45349</v>
      </c>
      <c r="B175">
        <v>17.093800000000002</v>
      </c>
      <c r="C175">
        <f t="shared" si="23"/>
        <v>3.1500000000001194E-2</v>
      </c>
      <c r="D175" s="4">
        <f t="shared" si="20"/>
        <v>1</v>
      </c>
      <c r="E175" s="5">
        <f t="shared" si="21"/>
        <v>1.8427734032222907E-3</v>
      </c>
      <c r="F175" s="7">
        <v>13.430000305175779</v>
      </c>
      <c r="G175" s="7">
        <f t="shared" si="22"/>
        <v>89.192402412189992</v>
      </c>
    </row>
    <row r="176" spans="1:7">
      <c r="A176" s="2">
        <v>45350</v>
      </c>
      <c r="B176">
        <v>17.054849999999998</v>
      </c>
      <c r="C176">
        <f t="shared" si="23"/>
        <v>-3.8950000000003371E-2</v>
      </c>
      <c r="D176" s="4">
        <f t="shared" si="20"/>
        <v>-1</v>
      </c>
      <c r="E176" s="5">
        <f t="shared" si="21"/>
        <v>-2.2838078317899821E-3</v>
      </c>
      <c r="F176" s="7">
        <v>13.840000152587891</v>
      </c>
      <c r="G176" s="7">
        <f t="shared" si="22"/>
        <v>91.915326503652906</v>
      </c>
    </row>
    <row r="177" spans="1:7">
      <c r="A177" s="2">
        <v>45351</v>
      </c>
      <c r="B177">
        <v>17.011849999999999</v>
      </c>
      <c r="C177">
        <f t="shared" si="23"/>
        <v>-4.2999999999999261E-2</v>
      </c>
      <c r="D177" s="4">
        <f t="shared" si="20"/>
        <v>-1</v>
      </c>
      <c r="E177" s="5">
        <f t="shared" si="21"/>
        <v>-2.5276498440792309E-3</v>
      </c>
      <c r="F177" s="7">
        <v>13.39999961853027</v>
      </c>
      <c r="G177" s="7">
        <f t="shared" si="22"/>
        <v>88.993159429678883</v>
      </c>
    </row>
    <row r="178" spans="1:7">
      <c r="A178" s="2">
        <v>45355</v>
      </c>
      <c r="B178">
        <v>16.947099999999999</v>
      </c>
      <c r="C178">
        <f t="shared" si="23"/>
        <v>-6.4750000000000085E-2</v>
      </c>
      <c r="D178" s="4">
        <f t="shared" si="20"/>
        <v>-1</v>
      </c>
      <c r="E178" s="5">
        <f t="shared" si="21"/>
        <v>-3.8207126883065593E-3</v>
      </c>
      <c r="F178" s="7">
        <v>13.489999771118161</v>
      </c>
      <c r="G178" s="7">
        <f t="shared" si="22"/>
        <v>89.590875709974426</v>
      </c>
    </row>
    <row r="179" spans="1:7">
      <c r="A179" s="2">
        <v>45356</v>
      </c>
      <c r="B179">
        <v>16.877700000000001</v>
      </c>
      <c r="C179">
        <f t="shared" si="23"/>
        <v>-6.939999999999813E-2</v>
      </c>
      <c r="D179" s="4">
        <f t="shared" si="20"/>
        <v>-1</v>
      </c>
      <c r="E179" s="5">
        <f t="shared" si="21"/>
        <v>-4.1119346830431943E-3</v>
      </c>
      <c r="F179" s="7">
        <v>14.460000038146971</v>
      </c>
      <c r="G179" s="7">
        <f t="shared" si="22"/>
        <v>96.032919804599118</v>
      </c>
    </row>
    <row r="180" spans="1:7">
      <c r="A180" s="2">
        <v>45357</v>
      </c>
      <c r="B180">
        <v>16.87565</v>
      </c>
      <c r="C180">
        <f t="shared" si="23"/>
        <v>-2.0500000000005514E-3</v>
      </c>
      <c r="D180" s="4">
        <f t="shared" si="20"/>
        <v>-1</v>
      </c>
      <c r="E180" s="5">
        <f t="shared" si="21"/>
        <v>-1.2147680237505231E-4</v>
      </c>
      <c r="F180" s="7">
        <v>14.5</v>
      </c>
      <c r="G180" s="7">
        <f t="shared" si="22"/>
        <v>96.298570780995036</v>
      </c>
    </row>
    <row r="181" spans="1:7">
      <c r="A181" s="2">
        <v>45358</v>
      </c>
      <c r="B181">
        <v>16.810600000000001</v>
      </c>
      <c r="C181">
        <f t="shared" si="23"/>
        <v>-6.5049999999999386E-2</v>
      </c>
      <c r="D181" s="4">
        <f t="shared" si="20"/>
        <v>-1</v>
      </c>
      <c r="E181" s="5">
        <f t="shared" si="21"/>
        <v>-3.8695822873662678E-3</v>
      </c>
      <c r="F181" s="7">
        <v>14.439999580383301</v>
      </c>
      <c r="G181" s="7">
        <f t="shared" si="22"/>
        <v>95.900091149591731</v>
      </c>
    </row>
    <row r="182" spans="1:7">
      <c r="A182" s="2">
        <v>45362</v>
      </c>
      <c r="B182">
        <v>16.79815</v>
      </c>
      <c r="C182">
        <f t="shared" si="23"/>
        <v>-1.2450000000001182E-2</v>
      </c>
      <c r="D182" s="4">
        <f t="shared" si="20"/>
        <v>-1</v>
      </c>
      <c r="E182" s="5">
        <f t="shared" si="21"/>
        <v>-7.4115304363880441E-4</v>
      </c>
      <c r="F182" s="7">
        <v>15.22000026702881</v>
      </c>
      <c r="G182" s="7">
        <f t="shared" si="22"/>
        <v>101.08029468974051</v>
      </c>
    </row>
    <row r="183" spans="1:7">
      <c r="A183" s="2">
        <v>45363</v>
      </c>
      <c r="B183">
        <v>16.661349999999999</v>
      </c>
      <c r="C183">
        <f t="shared" si="23"/>
        <v>-0.13680000000000092</v>
      </c>
      <c r="D183" s="4">
        <f t="shared" si="20"/>
        <v>-1</v>
      </c>
      <c r="E183" s="5">
        <f t="shared" si="21"/>
        <v>-8.2106191875208744E-3</v>
      </c>
      <c r="F183" s="7">
        <v>13.840000152587891</v>
      </c>
      <c r="G183" s="7">
        <f t="shared" si="22"/>
        <v>91.915326503652906</v>
      </c>
    </row>
    <row r="184" spans="1:7">
      <c r="A184" s="2">
        <v>45364</v>
      </c>
      <c r="B184">
        <v>16.700849999999999</v>
      </c>
      <c r="C184">
        <f t="shared" si="23"/>
        <v>3.9500000000000313E-2</v>
      </c>
      <c r="D184" s="4">
        <f t="shared" si="20"/>
        <v>1</v>
      </c>
      <c r="E184" s="5">
        <f t="shared" si="21"/>
        <v>2.3651490792385007E-3</v>
      </c>
      <c r="F184" s="7">
        <v>13.75</v>
      </c>
      <c r="G184" s="7">
        <f t="shared" si="22"/>
        <v>91.317610223357377</v>
      </c>
    </row>
    <row r="185" spans="1:7">
      <c r="A185" s="2">
        <v>45365</v>
      </c>
      <c r="B185">
        <v>16.717099999999999</v>
      </c>
      <c r="C185">
        <f t="shared" si="23"/>
        <v>1.6249999999999432E-2</v>
      </c>
      <c r="D185" s="4">
        <f t="shared" si="20"/>
        <v>1</v>
      </c>
      <c r="E185" s="5">
        <f t="shared" si="21"/>
        <v>9.7205855082516904E-4</v>
      </c>
      <c r="F185" s="7">
        <v>14.39999961853027</v>
      </c>
      <c r="G185" s="7">
        <f t="shared" si="22"/>
        <v>95.634440173195784</v>
      </c>
    </row>
    <row r="186" spans="1:7">
      <c r="A186" s="2">
        <v>45369</v>
      </c>
      <c r="B186">
        <v>16.807300000000001</v>
      </c>
      <c r="C186">
        <f t="shared" si="23"/>
        <v>9.0200000000002944E-2</v>
      </c>
      <c r="D186" s="4">
        <f t="shared" si="20"/>
        <v>1</v>
      </c>
      <c r="E186" s="5">
        <f t="shared" si="21"/>
        <v>5.3667156533174836E-3</v>
      </c>
      <c r="F186" s="7">
        <v>14.329999923706049</v>
      </c>
      <c r="G186" s="7">
        <f t="shared" si="22"/>
        <v>95.169552547907614</v>
      </c>
    </row>
    <row r="187" spans="1:7">
      <c r="A187" s="2">
        <v>45370</v>
      </c>
      <c r="B187">
        <v>16.681249999999999</v>
      </c>
      <c r="C187">
        <f t="shared" si="23"/>
        <v>-0.12605000000000288</v>
      </c>
      <c r="D187" s="4">
        <f t="shared" si="20"/>
        <v>-1</v>
      </c>
      <c r="E187" s="5">
        <f t="shared" si="21"/>
        <v>-7.5563881603598589E-3</v>
      </c>
      <c r="F187" s="7">
        <v>13.819999694824221</v>
      </c>
      <c r="G187" s="7">
        <f t="shared" si="22"/>
        <v>91.782497848645534</v>
      </c>
    </row>
    <row r="188" spans="1:7">
      <c r="A188" s="2">
        <v>45371</v>
      </c>
      <c r="B188">
        <v>16.739999999999998</v>
      </c>
      <c r="C188">
        <f t="shared" si="23"/>
        <v>5.8749999999999858E-2</v>
      </c>
      <c r="D188" s="4">
        <f t="shared" si="20"/>
        <v>1</v>
      </c>
      <c r="E188" s="5">
        <f t="shared" si="21"/>
        <v>3.5095579450418078E-3</v>
      </c>
      <c r="F188" s="7">
        <v>13.039999961853029</v>
      </c>
      <c r="G188" s="7">
        <f t="shared" si="22"/>
        <v>86.602300642115623</v>
      </c>
    </row>
    <row r="189" spans="1:7">
      <c r="A189" s="2">
        <v>45372</v>
      </c>
      <c r="B189">
        <v>16.761500000000002</v>
      </c>
      <c r="C189">
        <f t="shared" si="23"/>
        <v>2.1500000000003183E-2</v>
      </c>
      <c r="D189" s="4">
        <f t="shared" si="20"/>
        <v>1</v>
      </c>
      <c r="E189" s="5">
        <f t="shared" si="21"/>
        <v>1.2827014288699209E-3</v>
      </c>
      <c r="F189" s="7">
        <v>12.920000076293951</v>
      </c>
      <c r="G189" s="7">
        <f t="shared" si="22"/>
        <v>85.805347712927897</v>
      </c>
    </row>
    <row r="190" spans="1:7">
      <c r="A190" s="2">
        <v>45376</v>
      </c>
      <c r="B190">
        <v>16.643650000000001</v>
      </c>
      <c r="C190">
        <f t="shared" si="23"/>
        <v>-0.11785000000000068</v>
      </c>
      <c r="D190" s="4">
        <f t="shared" si="20"/>
        <v>-1</v>
      </c>
      <c r="E190" s="5">
        <f t="shared" si="21"/>
        <v>-7.08077855518475E-3</v>
      </c>
      <c r="F190" s="7">
        <v>13.189999580383301</v>
      </c>
      <c r="G190" s="7">
        <f t="shared" si="22"/>
        <v>87.5984902201956</v>
      </c>
    </row>
    <row r="191" spans="1:7">
      <c r="A191" s="2">
        <v>45377</v>
      </c>
      <c r="B191">
        <v>16.543099999999999</v>
      </c>
      <c r="C191">
        <f t="shared" si="23"/>
        <v>-0.10055000000000192</v>
      </c>
      <c r="D191" s="4">
        <f t="shared" si="20"/>
        <v>-1</v>
      </c>
      <c r="E191" s="5">
        <f t="shared" si="21"/>
        <v>-6.0780627572826085E-3</v>
      </c>
      <c r="F191" s="7">
        <v>13.239999771118161</v>
      </c>
      <c r="G191" s="7">
        <f t="shared" si="22"/>
        <v>87.930555524095197</v>
      </c>
    </row>
    <row r="192" spans="1:7">
      <c r="A192" s="2">
        <v>45378</v>
      </c>
      <c r="B192">
        <v>16.627700000000001</v>
      </c>
      <c r="C192">
        <f t="shared" si="23"/>
        <v>8.4600000000001785E-2</v>
      </c>
      <c r="D192" s="4">
        <f t="shared" si="20"/>
        <v>1</v>
      </c>
      <c r="E192" s="5">
        <f t="shared" si="21"/>
        <v>5.0878954996783545E-3</v>
      </c>
      <c r="F192" s="7">
        <v>12.77999973297119</v>
      </c>
      <c r="G192" s="7">
        <f t="shared" si="22"/>
        <v>84.875566128732686</v>
      </c>
    </row>
    <row r="193" spans="1:7">
      <c r="A193" s="2">
        <v>45379</v>
      </c>
      <c r="B193">
        <v>16.56465</v>
      </c>
      <c r="C193">
        <f t="shared" si="23"/>
        <v>-6.3050000000000495E-2</v>
      </c>
      <c r="D193" s="4">
        <f t="shared" si="20"/>
        <v>-1</v>
      </c>
      <c r="E193" s="5">
        <f t="shared" si="21"/>
        <v>-3.8062983522139313E-3</v>
      </c>
      <c r="F193" s="7">
        <v>13.010000228881839</v>
      </c>
      <c r="G193" s="7">
        <f t="shared" si="22"/>
        <v>86.403063993223412</v>
      </c>
    </row>
    <row r="194" spans="1:7">
      <c r="A194" s="2">
        <v>45384</v>
      </c>
      <c r="B194">
        <v>16.540800000000001</v>
      </c>
      <c r="C194">
        <f t="shared" si="23"/>
        <v>-2.3849999999999483E-2</v>
      </c>
      <c r="D194" s="4">
        <f t="shared" ref="D194:D200" si="24">IF(C194&gt;0,1,IF(C194&lt;0,-1,0))</f>
        <v>-1</v>
      </c>
      <c r="E194" s="5">
        <f t="shared" ref="E194:E200" si="25">C194/B194</f>
        <v>-1.441889146836881E-3</v>
      </c>
      <c r="F194" s="7">
        <v>14.60999965667725</v>
      </c>
      <c r="G194" s="7">
        <f t="shared" ref="G194:G200" si="26">F194/$F$202*100</f>
        <v>97.029109382679138</v>
      </c>
    </row>
    <row r="195" spans="1:7">
      <c r="A195" s="2">
        <v>45385</v>
      </c>
      <c r="B195">
        <v>16.590499999999999</v>
      </c>
      <c r="C195">
        <f t="shared" ref="C195:C200" si="27">B195-B194</f>
        <v>4.9699999999997857E-2</v>
      </c>
      <c r="D195" s="4">
        <f t="shared" si="24"/>
        <v>1</v>
      </c>
      <c r="E195" s="5">
        <f t="shared" si="25"/>
        <v>2.9956903046923157E-3</v>
      </c>
      <c r="F195" s="7">
        <v>14.329999923706049</v>
      </c>
      <c r="G195" s="7">
        <f t="shared" si="26"/>
        <v>95.169552547907614</v>
      </c>
    </row>
    <row r="196" spans="1:7">
      <c r="A196" s="2">
        <v>45386</v>
      </c>
      <c r="B196">
        <v>16.453749999999999</v>
      </c>
      <c r="C196">
        <f t="shared" si="27"/>
        <v>-0.13674999999999926</v>
      </c>
      <c r="D196" s="4">
        <f t="shared" si="24"/>
        <v>-1</v>
      </c>
      <c r="E196" s="5">
        <f t="shared" si="25"/>
        <v>-8.311175263997524E-3</v>
      </c>
      <c r="F196" s="7">
        <v>16.35000038146973</v>
      </c>
      <c r="G196" s="7">
        <f t="shared" si="26"/>
        <v>108.58494268994887</v>
      </c>
    </row>
    <row r="197" spans="1:7">
      <c r="A197" s="2">
        <v>45390</v>
      </c>
      <c r="B197">
        <v>16.387450000000001</v>
      </c>
      <c r="C197">
        <f t="shared" si="27"/>
        <v>-6.6299999999998249E-2</v>
      </c>
      <c r="D197" s="4">
        <f t="shared" si="24"/>
        <v>-1</v>
      </c>
      <c r="E197" s="5">
        <f t="shared" si="25"/>
        <v>-4.0457789344893955E-3</v>
      </c>
      <c r="F197" s="7">
        <v>15.189999580383301</v>
      </c>
      <c r="G197" s="7">
        <f t="shared" si="26"/>
        <v>100.8810517072294</v>
      </c>
    </row>
    <row r="198" spans="1:7">
      <c r="A198" s="2">
        <v>45391</v>
      </c>
      <c r="B198">
        <v>16.442799999999998</v>
      </c>
      <c r="C198">
        <f t="shared" si="27"/>
        <v>5.5349999999997124E-2</v>
      </c>
      <c r="D198" s="4">
        <f t="shared" si="24"/>
        <v>1</v>
      </c>
      <c r="E198" s="5">
        <f t="shared" si="25"/>
        <v>3.3662149998781917E-3</v>
      </c>
      <c r="F198" s="7">
        <v>14.97999954223633</v>
      </c>
      <c r="G198" s="7">
        <f t="shared" si="26"/>
        <v>99.486382497746106</v>
      </c>
    </row>
    <row r="199" spans="1:7">
      <c r="A199" s="2">
        <v>45392</v>
      </c>
      <c r="B199">
        <v>16.4406</v>
      </c>
      <c r="C199">
        <f t="shared" si="27"/>
        <v>-2.1999999999984254E-3</v>
      </c>
      <c r="D199" s="4">
        <f t="shared" si="24"/>
        <v>-1</v>
      </c>
      <c r="E199" s="5">
        <f t="shared" si="25"/>
        <v>-1.3381506757651336E-4</v>
      </c>
      <c r="F199" s="7">
        <v>15.80000019073486</v>
      </c>
      <c r="G199" s="7">
        <f t="shared" si="26"/>
        <v>104.93223701429078</v>
      </c>
    </row>
    <row r="200" spans="1:7">
      <c r="A200" s="2">
        <v>45393</v>
      </c>
      <c r="B200">
        <v>16.64395</v>
      </c>
      <c r="C200">
        <f t="shared" si="27"/>
        <v>0.20335000000000036</v>
      </c>
      <c r="D200" s="4">
        <f t="shared" si="24"/>
        <v>1</v>
      </c>
      <c r="E200" s="5">
        <f t="shared" si="25"/>
        <v>1.2217652660576388E-2</v>
      </c>
      <c r="F200" s="7">
        <v>14.909999847412109</v>
      </c>
      <c r="G200" s="7">
        <f t="shared" si="26"/>
        <v>99.02149487245795</v>
      </c>
    </row>
    <row r="201" spans="1:7">
      <c r="C201" t="s">
        <v>8</v>
      </c>
      <c r="F201">
        <f>STDEV(F2:F200)</f>
        <v>2.0692216937315582</v>
      </c>
    </row>
    <row r="202" spans="1:7">
      <c r="C202" t="s">
        <v>7</v>
      </c>
      <c r="F202">
        <f>AVERAGE(F2:F200)</f>
        <v>15.057336658688646</v>
      </c>
    </row>
    <row r="203" spans="1:7">
      <c r="C203" t="s">
        <v>5</v>
      </c>
      <c r="F203">
        <f>MIN(F2:F200)</f>
        <v>12.069999694824221</v>
      </c>
    </row>
    <row r="204" spans="1:7">
      <c r="C204" t="s">
        <v>6</v>
      </c>
      <c r="F204">
        <f>MAX((F2:F200))</f>
        <v>21.39999961853027</v>
      </c>
    </row>
  </sheetData>
  <autoFilter ref="A1:G200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3"/>
  <sheetViews>
    <sheetView topLeftCell="A157" zoomScale="70" zoomScaleNormal="70" workbookViewId="0">
      <selection activeCell="I16" sqref="I16"/>
    </sheetView>
  </sheetViews>
  <sheetFormatPr defaultRowHeight="14.4"/>
  <cols>
    <col min="1" max="1" width="17.88671875" customWidth="1"/>
    <col min="2" max="2" width="22.44140625" customWidth="1"/>
    <col min="3" max="3" width="23.5546875" customWidth="1"/>
    <col min="4" max="4" width="12.109375" customWidth="1"/>
    <col min="5" max="5" width="19.21875" customWidth="1"/>
    <col min="6" max="6" width="23.5546875" customWidth="1"/>
    <col min="7" max="7" width="23.77734375" customWidth="1"/>
  </cols>
  <sheetData>
    <row r="1" spans="1:7">
      <c r="A1" t="s">
        <v>0</v>
      </c>
      <c r="B1" t="s">
        <v>1</v>
      </c>
      <c r="C1" t="s">
        <v>3</v>
      </c>
      <c r="D1" t="s">
        <v>10</v>
      </c>
      <c r="E1" s="4" t="s">
        <v>11</v>
      </c>
      <c r="F1" s="4" t="s">
        <v>2</v>
      </c>
      <c r="G1" t="s">
        <v>4</v>
      </c>
    </row>
    <row r="2" spans="1:7">
      <c r="A2" s="9">
        <v>45033</v>
      </c>
      <c r="B2">
        <v>18.05125</v>
      </c>
      <c r="C2">
        <v>5.1249999999999574E-2</v>
      </c>
      <c r="D2">
        <v>1</v>
      </c>
      <c r="E2" s="5">
        <v>2.8391385638113467E-3</v>
      </c>
      <c r="F2" s="6">
        <v>16.95000076293945</v>
      </c>
      <c r="G2" s="6">
        <v>112.56971366950653</v>
      </c>
    </row>
    <row r="3" spans="1:7">
      <c r="A3" s="9">
        <v>45034</v>
      </c>
      <c r="B3">
        <v>18.045649999999998</v>
      </c>
      <c r="C3">
        <v>-5.6000000000011596E-3</v>
      </c>
      <c r="D3">
        <v>-1</v>
      </c>
      <c r="E3" s="5">
        <v>-3.1032409472649418E-4</v>
      </c>
      <c r="F3" s="6">
        <v>16.829999923706051</v>
      </c>
      <c r="G3" s="6">
        <v>111.77275440669989</v>
      </c>
    </row>
    <row r="4" spans="1:7">
      <c r="A4" s="9">
        <v>45035</v>
      </c>
      <c r="B4">
        <v>18.000599999999999</v>
      </c>
      <c r="C4">
        <v>-4.5049999999999812E-2</v>
      </c>
      <c r="D4">
        <v>-1</v>
      </c>
      <c r="E4" s="5">
        <v>-2.502694354632613E-3</v>
      </c>
      <c r="F4" s="6">
        <v>16.45999908447266</v>
      </c>
      <c r="G4" s="6">
        <v>109.31547495801408</v>
      </c>
    </row>
    <row r="5" spans="1:7">
      <c r="A5" s="9">
        <v>45036</v>
      </c>
      <c r="B5">
        <v>17.995660000000001</v>
      </c>
      <c r="C5">
        <v>-4.939999999997724E-3</v>
      </c>
      <c r="D5">
        <v>-1</v>
      </c>
      <c r="E5" s="5">
        <v>-2.7451063200781322E-4</v>
      </c>
      <c r="F5" s="6">
        <v>17.170000076293949</v>
      </c>
      <c r="G5" s="6">
        <v>114.0307908728747</v>
      </c>
    </row>
    <row r="6" spans="1:7">
      <c r="A6" s="9">
        <v>45037</v>
      </c>
      <c r="B6">
        <v>18.07375</v>
      </c>
      <c r="C6">
        <v>7.8089999999999549E-2</v>
      </c>
      <c r="D6">
        <v>1</v>
      </c>
      <c r="E6" s="5">
        <v>4.3206307490144293E-3</v>
      </c>
      <c r="F6" s="6">
        <v>16.889999389648441</v>
      </c>
      <c r="G6" s="6">
        <v>112.17122770448438</v>
      </c>
    </row>
    <row r="7" spans="1:7">
      <c r="A7" s="9">
        <v>45038</v>
      </c>
      <c r="B7">
        <v>18.152049999999999</v>
      </c>
      <c r="C7">
        <v>7.8299999999998704E-2</v>
      </c>
      <c r="D7">
        <v>1</v>
      </c>
      <c r="E7" s="5">
        <v>4.3135623800065947E-3</v>
      </c>
      <c r="F7" s="6">
        <v>18.760000228881839</v>
      </c>
      <c r="G7" s="6">
        <v>124.59042826844559</v>
      </c>
    </row>
    <row r="8" spans="1:7">
      <c r="A8" s="9">
        <v>45039</v>
      </c>
      <c r="B8">
        <v>18.033149999999999</v>
      </c>
      <c r="C8">
        <v>-0.11890000000000001</v>
      </c>
      <c r="D8">
        <v>-1</v>
      </c>
      <c r="E8" s="5">
        <v>-6.593412687189981E-3</v>
      </c>
      <c r="F8" s="6">
        <v>18.840000152587891</v>
      </c>
      <c r="G8" s="6">
        <v>125.1217302212374</v>
      </c>
    </row>
    <row r="9" spans="1:7">
      <c r="A9" s="9">
        <v>45040</v>
      </c>
      <c r="B9">
        <v>17.997900000000001</v>
      </c>
      <c r="C9">
        <v>-3.5249999999997783E-2</v>
      </c>
      <c r="D9">
        <v>-1</v>
      </c>
      <c r="E9" s="5">
        <v>-1.958561832213635E-3</v>
      </c>
      <c r="F9" s="6">
        <v>17.030000686645511</v>
      </c>
      <c r="G9" s="6">
        <v>113.10101562229842</v>
      </c>
    </row>
    <row r="10" spans="1:7">
      <c r="A10" s="9">
        <v>45041</v>
      </c>
      <c r="B10">
        <v>17.979849999999999</v>
      </c>
      <c r="C10">
        <v>-1.8050000000002342E-2</v>
      </c>
      <c r="D10">
        <v>-1</v>
      </c>
      <c r="E10" s="5">
        <v>-1.0039015898354181E-3</v>
      </c>
      <c r="F10" s="6">
        <v>16.079999923706051</v>
      </c>
      <c r="G10" s="6">
        <v>106.79179384906222</v>
      </c>
    </row>
    <row r="11" spans="1:7">
      <c r="A11" s="9">
        <v>45042</v>
      </c>
      <c r="B11">
        <v>17.930599999999998</v>
      </c>
      <c r="C11">
        <v>-4.9250000000000682E-2</v>
      </c>
      <c r="D11">
        <v>-1</v>
      </c>
      <c r="E11" s="5">
        <v>-2.7467011700668515E-3</v>
      </c>
      <c r="F11" s="6">
        <v>17.780000686645511</v>
      </c>
      <c r="G11" s="6">
        <v>118.08197617993608</v>
      </c>
    </row>
    <row r="12" spans="1:7">
      <c r="A12" s="9">
        <v>45043</v>
      </c>
      <c r="B12">
        <v>17.907</v>
      </c>
      <c r="C12">
        <v>-2.3599999999998289E-2</v>
      </c>
      <c r="D12">
        <v>-1</v>
      </c>
      <c r="E12" s="5">
        <v>-1.3179203663370911E-3</v>
      </c>
      <c r="F12" s="6">
        <v>18.340000152587891</v>
      </c>
      <c r="G12" s="6">
        <v>121.80108984947896</v>
      </c>
    </row>
    <row r="13" spans="1:7">
      <c r="A13" s="9">
        <v>45044</v>
      </c>
      <c r="B13">
        <v>17.753450000000001</v>
      </c>
      <c r="C13">
        <v>-0.15354999999999919</v>
      </c>
      <c r="D13">
        <v>-1</v>
      </c>
      <c r="E13" s="5">
        <v>-8.6490231476135156E-3</v>
      </c>
      <c r="F13" s="6">
        <v>20.090000152587891</v>
      </c>
      <c r="G13" s="6">
        <v>133.42333115063354</v>
      </c>
    </row>
    <row r="14" spans="1:7">
      <c r="A14" s="9">
        <v>45045</v>
      </c>
      <c r="B14">
        <v>17.773350000000001</v>
      </c>
      <c r="C14">
        <v>1.9899999999999807E-2</v>
      </c>
      <c r="D14">
        <v>1</v>
      </c>
      <c r="E14" s="5">
        <v>1.1196538637904393E-3</v>
      </c>
      <c r="F14" s="6">
        <v>16.979999542236332</v>
      </c>
      <c r="G14" s="6">
        <v>112.76894398477992</v>
      </c>
    </row>
    <row r="15" spans="1:7">
      <c r="A15" s="9">
        <v>45046</v>
      </c>
      <c r="B15">
        <v>17.551400000000001</v>
      </c>
      <c r="C15">
        <v>-0.22194999999999965</v>
      </c>
      <c r="D15">
        <v>-1</v>
      </c>
      <c r="E15" s="5">
        <v>-1.2645714871748101E-2</v>
      </c>
      <c r="F15" s="6">
        <v>17.70999908447266</v>
      </c>
      <c r="G15" s="6">
        <v>117.61707588741019</v>
      </c>
    </row>
    <row r="16" spans="1:7">
      <c r="A16" s="9">
        <v>45047</v>
      </c>
      <c r="B16">
        <v>17.5793</v>
      </c>
      <c r="C16">
        <v>2.7899999999998926E-2</v>
      </c>
      <c r="D16">
        <v>1</v>
      </c>
      <c r="E16" s="5">
        <v>1.5870939115891376E-3</v>
      </c>
      <c r="F16" s="6">
        <v>16.940000534057621</v>
      </c>
      <c r="G16" s="6">
        <v>112.50329934200288</v>
      </c>
    </row>
    <row r="17" spans="1:7">
      <c r="A17" s="9">
        <v>45048</v>
      </c>
      <c r="B17">
        <v>17.601949999999999</v>
      </c>
      <c r="C17">
        <v>2.2649999999998727E-2</v>
      </c>
      <c r="D17">
        <v>1</v>
      </c>
      <c r="E17" s="5">
        <v>1.2867892477821338E-3</v>
      </c>
      <c r="F17" s="6">
        <v>16.930000305175781</v>
      </c>
      <c r="G17" s="6">
        <v>112.43688501449915</v>
      </c>
    </row>
    <row r="18" spans="1:7">
      <c r="A18" s="9">
        <v>45049</v>
      </c>
      <c r="B18">
        <v>17.50675</v>
      </c>
      <c r="C18">
        <v>-9.5199999999998397E-2</v>
      </c>
      <c r="D18">
        <v>-1</v>
      </c>
      <c r="E18" s="5">
        <v>-5.4379025233123454E-3</v>
      </c>
      <c r="F18" s="6">
        <v>17.120000839233398</v>
      </c>
      <c r="G18" s="6">
        <v>113.69873190259392</v>
      </c>
    </row>
    <row r="19" spans="1:7">
      <c r="A19" s="9">
        <v>45050</v>
      </c>
      <c r="B19">
        <v>17.5991</v>
      </c>
      <c r="C19">
        <v>9.234999999999971E-2</v>
      </c>
      <c r="D19">
        <v>1</v>
      </c>
      <c r="E19" s="5">
        <v>5.2474274252660479E-3</v>
      </c>
      <c r="F19" s="6">
        <v>17.989999771118161</v>
      </c>
      <c r="G19" s="6">
        <v>119.47663905580046</v>
      </c>
    </row>
    <row r="20" spans="1:7">
      <c r="A20" s="9">
        <v>45051</v>
      </c>
      <c r="B20">
        <v>17.719349999999999</v>
      </c>
      <c r="C20">
        <v>0.12024999999999864</v>
      </c>
      <c r="D20">
        <v>1</v>
      </c>
      <c r="E20" s="5">
        <v>6.7863663170487998E-3</v>
      </c>
      <c r="F20" s="6">
        <v>16.870000839233398</v>
      </c>
      <c r="G20" s="6">
        <v>112.03841171671472</v>
      </c>
    </row>
    <row r="21" spans="1:7">
      <c r="A21" s="9">
        <v>45052</v>
      </c>
      <c r="B21">
        <v>17.7849</v>
      </c>
      <c r="C21">
        <v>6.5550000000001774E-2</v>
      </c>
      <c r="D21">
        <v>1</v>
      </c>
      <c r="E21" s="5">
        <v>3.6857109120659532E-3</v>
      </c>
      <c r="F21" s="6">
        <v>16.04999923706055</v>
      </c>
      <c r="G21" s="6">
        <v>106.59255086655118</v>
      </c>
    </row>
    <row r="22" spans="1:7">
      <c r="A22" s="9">
        <v>45053</v>
      </c>
      <c r="B22">
        <v>17.974969999999999</v>
      </c>
      <c r="C22">
        <v>0.19006999999999863</v>
      </c>
      <c r="D22">
        <v>1</v>
      </c>
      <c r="E22" s="5">
        <v>1.0574148385226715E-2</v>
      </c>
      <c r="F22" s="6">
        <v>17.20999908447266</v>
      </c>
      <c r="G22" s="6">
        <v>114.29643551565174</v>
      </c>
    </row>
    <row r="23" spans="1:7">
      <c r="A23" s="9">
        <v>45054</v>
      </c>
      <c r="B23">
        <v>17.800999999999998</v>
      </c>
      <c r="C23">
        <v>-0.17397000000000062</v>
      </c>
      <c r="D23">
        <v>-1</v>
      </c>
      <c r="E23" s="5">
        <v>-9.7730464580641895E-3</v>
      </c>
      <c r="F23" s="6">
        <v>18.530000686645511</v>
      </c>
      <c r="G23" s="6">
        <v>123.06293673757376</v>
      </c>
    </row>
    <row r="24" spans="1:7">
      <c r="A24" s="9">
        <v>45055</v>
      </c>
      <c r="B24">
        <v>17.854800000000001</v>
      </c>
      <c r="C24">
        <v>5.3800000000002512E-2</v>
      </c>
      <c r="D24">
        <v>1</v>
      </c>
      <c r="E24" s="5">
        <v>3.0131953312275976E-3</v>
      </c>
      <c r="F24" s="6">
        <v>20.030000686645511</v>
      </c>
      <c r="G24" s="6">
        <v>133.02485785284912</v>
      </c>
    </row>
    <row r="25" spans="1:7">
      <c r="A25" s="9">
        <v>45056</v>
      </c>
      <c r="B25">
        <v>17.623950000000001</v>
      </c>
      <c r="C25">
        <v>-0.23085000000000022</v>
      </c>
      <c r="D25">
        <v>-1</v>
      </c>
      <c r="E25" s="5">
        <v>-1.3098652685691926E-2</v>
      </c>
      <c r="F25" s="6">
        <v>19.139999389648441</v>
      </c>
      <c r="G25" s="6">
        <v>127.1141093773974</v>
      </c>
    </row>
    <row r="26" spans="1:7">
      <c r="A26" s="9">
        <v>45057</v>
      </c>
      <c r="B26">
        <v>17.6813</v>
      </c>
      <c r="C26">
        <v>5.7349999999999568E-2</v>
      </c>
      <c r="D26">
        <v>1</v>
      </c>
      <c r="E26" s="5">
        <v>3.2435397849705375E-3</v>
      </c>
      <c r="F26" s="6">
        <v>17.45999908447266</v>
      </c>
      <c r="G26" s="6">
        <v>115.95675570153097</v>
      </c>
    </row>
    <row r="27" spans="1:7">
      <c r="A27" s="9">
        <v>45058</v>
      </c>
      <c r="B27">
        <v>17.551600000000001</v>
      </c>
      <c r="C27">
        <v>-0.1296999999999997</v>
      </c>
      <c r="D27">
        <v>-1</v>
      </c>
      <c r="E27" s="5">
        <v>-7.3896396909683276E-3</v>
      </c>
      <c r="F27" s="6">
        <v>17.940000534057621</v>
      </c>
      <c r="G27" s="6">
        <v>119.14458008551978</v>
      </c>
    </row>
    <row r="28" spans="1:7">
      <c r="A28" s="9">
        <v>45059</v>
      </c>
      <c r="B28">
        <v>17.56035</v>
      </c>
      <c r="C28">
        <v>8.7499999999991473E-3</v>
      </c>
      <c r="D28">
        <v>1</v>
      </c>
      <c r="E28" s="5">
        <v>4.9828164017227147E-4</v>
      </c>
      <c r="F28" s="6">
        <v>15.64999961853027</v>
      </c>
      <c r="G28" s="6">
        <v>103.93604110259191</v>
      </c>
    </row>
    <row r="29" spans="1:7">
      <c r="A29" s="9">
        <v>45060</v>
      </c>
      <c r="B29">
        <v>17.385300000000001</v>
      </c>
      <c r="C29">
        <v>-0.17504999999999882</v>
      </c>
      <c r="D29">
        <v>-1</v>
      </c>
      <c r="E29" s="5">
        <v>-1.006885127090121E-2</v>
      </c>
      <c r="F29" s="6">
        <v>14.72999954223633</v>
      </c>
      <c r="G29" s="6">
        <v>97.826062311866878</v>
      </c>
    </row>
    <row r="30" spans="1:7">
      <c r="A30" s="9">
        <v>45061</v>
      </c>
      <c r="B30">
        <v>17.3597</v>
      </c>
      <c r="C30">
        <v>-2.5600000000000733E-2</v>
      </c>
      <c r="D30">
        <v>-1</v>
      </c>
      <c r="E30" s="5">
        <v>-1.4746798619792239E-3</v>
      </c>
      <c r="F30" s="6">
        <v>13.960000038146971</v>
      </c>
      <c r="G30" s="6">
        <v>92.71227943284066</v>
      </c>
    </row>
    <row r="31" spans="1:7">
      <c r="A31" s="9">
        <v>45062</v>
      </c>
      <c r="B31">
        <v>17.378</v>
      </c>
      <c r="C31">
        <v>1.8299999999999983E-2</v>
      </c>
      <c r="D31">
        <v>1</v>
      </c>
      <c r="E31" s="5">
        <v>1.0530555875244553E-3</v>
      </c>
      <c r="F31" s="6">
        <v>13.939999580383301</v>
      </c>
      <c r="G31" s="6">
        <v>92.579450777833273</v>
      </c>
    </row>
    <row r="32" spans="1:7">
      <c r="A32" s="9">
        <v>45063</v>
      </c>
      <c r="B32">
        <v>17.286449999999999</v>
      </c>
      <c r="C32">
        <v>-9.1550000000001575E-2</v>
      </c>
      <c r="D32">
        <v>-1</v>
      </c>
      <c r="E32" s="5">
        <v>-5.296055581105524E-3</v>
      </c>
      <c r="F32" s="6">
        <v>13.64999961853027</v>
      </c>
      <c r="G32" s="6">
        <v>90.653479615558112</v>
      </c>
    </row>
    <row r="33" spans="1:7">
      <c r="A33" s="9">
        <v>45064</v>
      </c>
      <c r="B33">
        <v>17.222999999999999</v>
      </c>
      <c r="C33">
        <v>-6.3449999999999562E-2</v>
      </c>
      <c r="D33">
        <v>-1</v>
      </c>
      <c r="E33" s="5">
        <v>-3.6840271729663568E-3</v>
      </c>
      <c r="F33" s="6">
        <v>15.010000228881839</v>
      </c>
      <c r="G33" s="6">
        <v>99.685625480257215</v>
      </c>
    </row>
    <row r="34" spans="1:7">
      <c r="A34" s="9">
        <v>45065</v>
      </c>
      <c r="B34">
        <v>17.105499999999999</v>
      </c>
      <c r="C34">
        <v>-0.11749999999999972</v>
      </c>
      <c r="D34">
        <v>-1</v>
      </c>
      <c r="E34" s="5">
        <v>-6.8691356581216407E-3</v>
      </c>
      <c r="F34" s="6">
        <v>14.60999965667725</v>
      </c>
      <c r="G34" s="6">
        <v>97.029109382679138</v>
      </c>
    </row>
    <row r="35" spans="1:7">
      <c r="A35" s="9">
        <v>45066</v>
      </c>
      <c r="B35">
        <v>17.119900000000001</v>
      </c>
      <c r="C35">
        <v>1.4400000000001967E-2</v>
      </c>
      <c r="D35">
        <v>1</v>
      </c>
      <c r="E35" s="5">
        <v>8.4112640844876232E-4</v>
      </c>
      <c r="F35" s="6">
        <v>13.88000011444092</v>
      </c>
      <c r="G35" s="6">
        <v>92.180977480048838</v>
      </c>
    </row>
    <row r="36" spans="1:7">
      <c r="A36" s="9">
        <v>45067</v>
      </c>
      <c r="B36">
        <v>17.0733</v>
      </c>
      <c r="C36">
        <v>-4.6600000000001529E-2</v>
      </c>
      <c r="D36">
        <v>-1</v>
      </c>
      <c r="E36" s="5">
        <v>-2.7294079059116592E-3</v>
      </c>
      <c r="F36" s="6">
        <v>14.5</v>
      </c>
      <c r="G36" s="6">
        <v>96.298570780995036</v>
      </c>
    </row>
    <row r="37" spans="1:7">
      <c r="A37" s="9">
        <v>45068</v>
      </c>
      <c r="B37">
        <v>17.11645</v>
      </c>
      <c r="C37">
        <v>4.3150000000000688E-2</v>
      </c>
      <c r="D37">
        <v>1</v>
      </c>
      <c r="E37" s="5">
        <v>2.5209666724116675E-3</v>
      </c>
      <c r="F37" s="6">
        <v>13.88000011444092</v>
      </c>
      <c r="G37" s="6">
        <v>92.180977480048838</v>
      </c>
    </row>
    <row r="38" spans="1:7">
      <c r="A38" s="9">
        <v>45069</v>
      </c>
      <c r="B38">
        <v>17.189599999999999</v>
      </c>
      <c r="C38">
        <v>7.3149999999998272E-2</v>
      </c>
      <c r="D38">
        <v>1</v>
      </c>
      <c r="E38" s="5">
        <v>4.2554800577092123E-3</v>
      </c>
      <c r="F38" s="6">
        <v>13.19999980926514</v>
      </c>
      <c r="G38" s="6">
        <v>87.664904547699322</v>
      </c>
    </row>
    <row r="39" spans="1:7">
      <c r="A39" s="9">
        <v>45070</v>
      </c>
      <c r="B39">
        <v>17.186900000000001</v>
      </c>
      <c r="C39">
        <v>-2.6999999999972601E-3</v>
      </c>
      <c r="D39">
        <v>-1</v>
      </c>
      <c r="E39" s="5">
        <v>-1.570963931830208E-4</v>
      </c>
      <c r="F39" s="6">
        <v>12.909999847412109</v>
      </c>
      <c r="G39" s="6">
        <v>85.738933385424161</v>
      </c>
    </row>
    <row r="40" spans="1:7">
      <c r="A40" s="9">
        <v>45071</v>
      </c>
      <c r="B40">
        <v>17.13635</v>
      </c>
      <c r="C40">
        <v>-5.0550000000001205E-2</v>
      </c>
      <c r="D40">
        <v>-1</v>
      </c>
      <c r="E40" s="5">
        <v>-2.9498697213818114E-3</v>
      </c>
      <c r="F40" s="6">
        <v>13.439999580383301</v>
      </c>
      <c r="G40" s="6">
        <v>89.258810406074829</v>
      </c>
    </row>
    <row r="41" spans="1:7">
      <c r="A41" s="9">
        <v>45072</v>
      </c>
      <c r="B41">
        <v>17.085699999999999</v>
      </c>
      <c r="C41">
        <v>-5.0650000000000972E-2</v>
      </c>
      <c r="D41">
        <v>-1</v>
      </c>
      <c r="E41" s="5">
        <v>-2.964467361594841E-3</v>
      </c>
      <c r="F41" s="6">
        <v>14.25</v>
      </c>
      <c r="G41" s="6">
        <v>94.638250595115807</v>
      </c>
    </row>
    <row r="42" spans="1:7">
      <c r="A42" s="9">
        <v>45073</v>
      </c>
      <c r="B42">
        <v>17.0946</v>
      </c>
      <c r="C42">
        <v>8.9000000000005741E-3</v>
      </c>
      <c r="D42">
        <v>1</v>
      </c>
      <c r="E42" s="5">
        <v>5.2063224644042995E-4</v>
      </c>
      <c r="F42" s="6">
        <v>13.739999771118161</v>
      </c>
      <c r="G42" s="6">
        <v>91.251195895853641</v>
      </c>
    </row>
    <row r="43" spans="1:7">
      <c r="A43" s="9">
        <v>45074</v>
      </c>
      <c r="B43">
        <v>17.124099999999999</v>
      </c>
      <c r="C43">
        <v>2.9499999999998749E-2</v>
      </c>
      <c r="D43">
        <v>1</v>
      </c>
      <c r="E43" s="5">
        <v>1.722718274244997E-3</v>
      </c>
      <c r="F43" s="6">
        <v>13.430000305175779</v>
      </c>
      <c r="G43" s="6">
        <v>89.192402412189992</v>
      </c>
    </row>
    <row r="44" spans="1:7">
      <c r="A44" s="9">
        <v>45075</v>
      </c>
      <c r="B44">
        <v>17.121590000000001</v>
      </c>
      <c r="C44">
        <v>-2.5099999999973477E-3</v>
      </c>
      <c r="D44">
        <v>-1</v>
      </c>
      <c r="E44" s="5">
        <v>-1.4659853436493618E-4</v>
      </c>
      <c r="F44" s="6">
        <v>13.539999961853029</v>
      </c>
      <c r="G44" s="6">
        <v>89.92294101387408</v>
      </c>
    </row>
    <row r="45" spans="1:7">
      <c r="A45" s="9">
        <v>45076</v>
      </c>
      <c r="B45">
        <v>17.0534</v>
      </c>
      <c r="C45">
        <v>-6.8190000000001305E-2</v>
      </c>
      <c r="D45">
        <v>-1</v>
      </c>
      <c r="E45" s="5">
        <v>-3.9986161117431893E-3</v>
      </c>
      <c r="F45" s="6">
        <v>13.569999694824221</v>
      </c>
      <c r="G45" s="6">
        <v>90.122177662766305</v>
      </c>
    </row>
    <row r="46" spans="1:7">
      <c r="A46" s="9">
        <v>45077</v>
      </c>
      <c r="B46">
        <v>17.240349999999999</v>
      </c>
      <c r="C46">
        <v>0.18694999999999951</v>
      </c>
      <c r="D46">
        <v>1</v>
      </c>
      <c r="E46" s="5">
        <v>1.0843747371718063E-2</v>
      </c>
      <c r="F46" s="6">
        <v>14.180000305175779</v>
      </c>
      <c r="G46" s="6">
        <v>94.173362969827664</v>
      </c>
    </row>
    <row r="47" spans="1:7">
      <c r="A47" s="9">
        <v>45078</v>
      </c>
      <c r="B47">
        <v>17.14594</v>
      </c>
      <c r="C47">
        <v>-9.4409999999999883E-2</v>
      </c>
      <c r="D47">
        <v>-1</v>
      </c>
      <c r="E47" s="5">
        <v>-5.5062597909475881E-3</v>
      </c>
      <c r="F47" s="6">
        <v>15.439999580383301</v>
      </c>
      <c r="G47" s="6">
        <v>102.54137189310863</v>
      </c>
    </row>
    <row r="48" spans="1:7">
      <c r="A48" s="9">
        <v>45079</v>
      </c>
      <c r="B48">
        <v>17.04505</v>
      </c>
      <c r="C48">
        <v>-0.1008899999999997</v>
      </c>
      <c r="D48">
        <v>-1</v>
      </c>
      <c r="E48" s="5">
        <v>-5.9190204780859958E-3</v>
      </c>
      <c r="F48" s="6">
        <v>15.069999694824221</v>
      </c>
      <c r="G48" s="6">
        <v>100.08409877804165</v>
      </c>
    </row>
    <row r="49" spans="1:7">
      <c r="A49" s="9">
        <v>45080</v>
      </c>
      <c r="B49">
        <v>16.896750000000001</v>
      </c>
      <c r="C49">
        <v>-0.14829999999999899</v>
      </c>
      <c r="D49">
        <v>-1</v>
      </c>
      <c r="E49" s="5">
        <v>-8.7768357820290285E-3</v>
      </c>
      <c r="F49" s="6">
        <v>14.840000152587891</v>
      </c>
      <c r="G49" s="6">
        <v>98.556607247169808</v>
      </c>
    </row>
    <row r="50" spans="1:7">
      <c r="A50" s="9">
        <v>45081</v>
      </c>
      <c r="B50">
        <v>16.839500000000001</v>
      </c>
      <c r="C50">
        <v>-5.7249999999999801E-2</v>
      </c>
      <c r="D50">
        <v>-1</v>
      </c>
      <c r="E50" s="5">
        <v>-3.3997446480002256E-3</v>
      </c>
      <c r="F50" s="6">
        <v>13.539999961853029</v>
      </c>
      <c r="G50" s="6">
        <v>89.92294101387408</v>
      </c>
    </row>
    <row r="51" spans="1:7">
      <c r="A51" s="9">
        <v>45082</v>
      </c>
      <c r="B51">
        <v>16.750050000000002</v>
      </c>
      <c r="C51">
        <v>-8.9449999999999363E-2</v>
      </c>
      <c r="D51">
        <v>-1</v>
      </c>
      <c r="E51" s="5">
        <v>-5.3402825663206588E-3</v>
      </c>
      <c r="F51" s="6">
        <v>13.60999965667725</v>
      </c>
      <c r="G51" s="6">
        <v>90.387828639162237</v>
      </c>
    </row>
    <row r="52" spans="1:7">
      <c r="A52" s="9">
        <v>45083</v>
      </c>
      <c r="B52">
        <v>16.751149999999999</v>
      </c>
      <c r="C52">
        <v>1.0999999999974364E-3</v>
      </c>
      <c r="D52">
        <v>1</v>
      </c>
      <c r="E52" s="5">
        <v>6.5667133301142687E-5</v>
      </c>
      <c r="F52" s="6">
        <v>13.47999954223633</v>
      </c>
      <c r="G52" s="6">
        <v>89.524461382470761</v>
      </c>
    </row>
    <row r="53" spans="1:7">
      <c r="A53" s="9">
        <v>45084</v>
      </c>
      <c r="B53">
        <v>16.71245</v>
      </c>
      <c r="C53">
        <v>-3.8699999999998624E-2</v>
      </c>
      <c r="D53">
        <v>-1</v>
      </c>
      <c r="E53" s="5">
        <v>-2.3156389398321982E-3</v>
      </c>
      <c r="F53" s="6">
        <v>13.30000019073486</v>
      </c>
      <c r="G53" s="6">
        <v>88.329035155498516</v>
      </c>
    </row>
    <row r="54" spans="1:7">
      <c r="A54" s="9">
        <v>45085</v>
      </c>
      <c r="B54">
        <v>16.8796</v>
      </c>
      <c r="C54">
        <v>0.16714999999999947</v>
      </c>
      <c r="D54">
        <v>1</v>
      </c>
      <c r="E54" s="5">
        <v>9.9024858408966725E-3</v>
      </c>
      <c r="F54" s="6">
        <v>13.760000228881839</v>
      </c>
      <c r="G54" s="6">
        <v>91.384024550861085</v>
      </c>
    </row>
    <row r="55" spans="1:7">
      <c r="A55" s="9">
        <v>45086</v>
      </c>
      <c r="B55">
        <v>16.988350000000001</v>
      </c>
      <c r="C55">
        <v>0.10875000000000057</v>
      </c>
      <c r="D55">
        <v>1</v>
      </c>
      <c r="E55" s="5">
        <v>6.4014456966097685E-3</v>
      </c>
      <c r="F55" s="6">
        <v>13.989999771118161</v>
      </c>
      <c r="G55" s="6">
        <v>92.91151608173287</v>
      </c>
    </row>
    <row r="56" spans="1:7">
      <c r="A56" s="9">
        <v>45087</v>
      </c>
      <c r="B56">
        <v>16.932749999999999</v>
      </c>
      <c r="C56">
        <v>-5.560000000000187E-2</v>
      </c>
      <c r="D56">
        <v>-1</v>
      </c>
      <c r="E56" s="5">
        <v>-3.2835776823021585E-3</v>
      </c>
      <c r="F56" s="6">
        <v>13.909999847412109</v>
      </c>
      <c r="G56" s="6">
        <v>92.380214128941049</v>
      </c>
    </row>
    <row r="57" spans="1:7">
      <c r="A57" s="9">
        <v>45088</v>
      </c>
      <c r="B57">
        <v>16.8429</v>
      </c>
      <c r="C57">
        <v>-8.9849999999998431E-2</v>
      </c>
      <c r="D57">
        <v>-1</v>
      </c>
      <c r="E57" s="5">
        <v>-5.3345920239387772E-3</v>
      </c>
      <c r="F57" s="6">
        <v>13.85999965667725</v>
      </c>
      <c r="G57" s="6">
        <v>92.048148825041451</v>
      </c>
    </row>
    <row r="58" spans="1:7">
      <c r="A58" s="9">
        <v>45089</v>
      </c>
      <c r="B58">
        <v>16.877099999999999</v>
      </c>
      <c r="C58">
        <v>3.4199999999998454E-2</v>
      </c>
      <c r="D58">
        <v>1</v>
      </c>
      <c r="E58" s="5">
        <v>2.0264144906410732E-3</v>
      </c>
      <c r="F58" s="6">
        <v>13.189999580383301</v>
      </c>
      <c r="G58" s="6">
        <v>87.5984902201956</v>
      </c>
    </row>
    <row r="59" spans="1:7">
      <c r="A59" s="9">
        <v>45090</v>
      </c>
      <c r="B59">
        <v>16.690100000000001</v>
      </c>
      <c r="C59">
        <v>-0.18699999999999761</v>
      </c>
      <c r="D59">
        <v>-1</v>
      </c>
      <c r="E59" s="5">
        <v>-1.1204246828958341E-2</v>
      </c>
      <c r="F59" s="6">
        <v>14.409999847412109</v>
      </c>
      <c r="G59" s="6">
        <v>95.700854500699506</v>
      </c>
    </row>
    <row r="60" spans="1:7">
      <c r="A60" s="9">
        <v>45091</v>
      </c>
      <c r="B60">
        <v>16.881150000000002</v>
      </c>
      <c r="C60">
        <v>0.19105000000000061</v>
      </c>
      <c r="D60">
        <v>1</v>
      </c>
      <c r="E60" s="5">
        <v>1.1317356933621263E-2</v>
      </c>
      <c r="F60" s="6">
        <v>13.63000011444092</v>
      </c>
      <c r="G60" s="6">
        <v>90.520657294169609</v>
      </c>
    </row>
    <row r="61" spans="1:7">
      <c r="A61" s="9">
        <v>45092</v>
      </c>
      <c r="B61">
        <v>17.016449999999999</v>
      </c>
      <c r="C61">
        <v>0.13529999999999731</v>
      </c>
      <c r="D61">
        <v>1</v>
      </c>
      <c r="E61" s="5">
        <v>7.9511296421990087E-3</v>
      </c>
      <c r="F61" s="6">
        <v>13.930000305175779</v>
      </c>
      <c r="G61" s="6">
        <v>92.513042783948435</v>
      </c>
    </row>
    <row r="62" spans="1:7">
      <c r="A62" s="9">
        <v>45093</v>
      </c>
      <c r="B62">
        <v>17.3523</v>
      </c>
      <c r="C62">
        <v>0.33585000000000065</v>
      </c>
      <c r="D62">
        <v>1</v>
      </c>
      <c r="E62" s="5">
        <v>1.9354782939437463E-2</v>
      </c>
      <c r="F62" s="6">
        <v>16.090000152587891</v>
      </c>
      <c r="G62" s="6">
        <v>106.85820817656592</v>
      </c>
    </row>
    <row r="63" spans="1:7">
      <c r="A63" s="9">
        <v>45094</v>
      </c>
      <c r="B63">
        <v>17.078299999999999</v>
      </c>
      <c r="C63">
        <v>-0.27400000000000091</v>
      </c>
      <c r="D63">
        <v>-1</v>
      </c>
      <c r="E63" s="5">
        <v>-1.6043751427249838E-2</v>
      </c>
      <c r="F63" s="6">
        <v>15.920000076293951</v>
      </c>
      <c r="G63" s="6">
        <v>105.7291899434786</v>
      </c>
    </row>
    <row r="64" spans="1:7">
      <c r="A64" s="9">
        <v>45095</v>
      </c>
      <c r="B64">
        <v>17.118449999999999</v>
      </c>
      <c r="C64">
        <v>4.0150000000000574E-2</v>
      </c>
      <c r="D64">
        <v>1</v>
      </c>
      <c r="E64" s="5">
        <v>2.3454226288011225E-3</v>
      </c>
      <c r="F64" s="6">
        <v>15.77000045776367</v>
      </c>
      <c r="G64" s="6">
        <v>104.73300036539854</v>
      </c>
    </row>
    <row r="65" spans="1:7">
      <c r="A65" s="9">
        <v>45096</v>
      </c>
      <c r="B65">
        <v>17.0578</v>
      </c>
      <c r="C65">
        <v>-6.0649999999998983E-2</v>
      </c>
      <c r="D65">
        <v>-1</v>
      </c>
      <c r="E65" s="5">
        <v>-3.5555581610758119E-3</v>
      </c>
      <c r="F65" s="6">
        <v>15.989999771118161</v>
      </c>
      <c r="G65" s="6">
        <v>106.19407756876666</v>
      </c>
    </row>
    <row r="66" spans="1:7">
      <c r="A66" s="9">
        <v>45097</v>
      </c>
      <c r="B66">
        <v>17.1309</v>
      </c>
      <c r="C66">
        <v>7.3100000000000165E-2</v>
      </c>
      <c r="D66">
        <v>1</v>
      </c>
      <c r="E66" s="5">
        <v>4.267142998908415E-3</v>
      </c>
      <c r="F66" s="6">
        <v>15.960000038146971</v>
      </c>
      <c r="G66" s="6">
        <v>105.99484091987446</v>
      </c>
    </row>
    <row r="67" spans="1:7">
      <c r="A67" s="9">
        <v>45098</v>
      </c>
      <c r="B67">
        <v>17.003350000000001</v>
      </c>
      <c r="C67">
        <v>-0.12754999999999939</v>
      </c>
      <c r="D67">
        <v>-1</v>
      </c>
      <c r="E67" s="5">
        <v>-7.501462947007465E-3</v>
      </c>
      <c r="F67" s="6">
        <v>15.85000038146973</v>
      </c>
      <c r="G67" s="6">
        <v>105.26430231819045</v>
      </c>
    </row>
    <row r="68" spans="1:7">
      <c r="A68" s="9">
        <v>45099</v>
      </c>
      <c r="B68">
        <v>17.149550000000001</v>
      </c>
      <c r="C68">
        <v>0.14620000000000033</v>
      </c>
      <c r="D68">
        <v>1</v>
      </c>
      <c r="E68" s="5">
        <v>8.5250050292865007E-3</v>
      </c>
      <c r="F68" s="6">
        <v>14.819999694824221</v>
      </c>
      <c r="G68" s="6">
        <v>98.423778592162421</v>
      </c>
    </row>
    <row r="69" spans="1:7">
      <c r="A69" s="9">
        <v>45100</v>
      </c>
      <c r="B69">
        <v>17.143699999999999</v>
      </c>
      <c r="C69">
        <v>-5.8500000000023533E-3</v>
      </c>
      <c r="D69">
        <v>-1</v>
      </c>
      <c r="E69" s="5">
        <v>-3.4123322270002122E-4</v>
      </c>
      <c r="F69" s="6">
        <v>16.45999908447266</v>
      </c>
      <c r="G69" s="6">
        <v>109.31547495801408</v>
      </c>
    </row>
    <row r="70" spans="1:7">
      <c r="A70" s="9">
        <v>45101</v>
      </c>
      <c r="B70">
        <v>17.10765</v>
      </c>
      <c r="C70">
        <v>-3.6049999999999471E-2</v>
      </c>
      <c r="D70">
        <v>-1</v>
      </c>
      <c r="E70" s="5">
        <v>-2.1072444198939931E-3</v>
      </c>
      <c r="F70" s="6">
        <v>16.780000686645511</v>
      </c>
      <c r="G70" s="6">
        <v>111.44069543641919</v>
      </c>
    </row>
    <row r="71" spans="1:7">
      <c r="A71" s="9">
        <v>45102</v>
      </c>
      <c r="B71">
        <v>17.058700000000002</v>
      </c>
      <c r="C71">
        <v>-4.8949999999997829E-2</v>
      </c>
      <c r="D71">
        <v>-1</v>
      </c>
      <c r="E71" s="5">
        <v>-2.8695035377841118E-3</v>
      </c>
      <c r="F71" s="6">
        <v>17.889999389648441</v>
      </c>
      <c r="G71" s="6">
        <v>118.81250844800128</v>
      </c>
    </row>
    <row r="72" spans="1:7">
      <c r="A72" s="9">
        <v>45103</v>
      </c>
      <c r="B72">
        <v>16.908149999999999</v>
      </c>
      <c r="C72">
        <v>-0.15055000000000263</v>
      </c>
      <c r="D72">
        <v>-1</v>
      </c>
      <c r="E72" s="5">
        <v>-8.9039900876206231E-3</v>
      </c>
      <c r="F72" s="6">
        <v>17.129999160766602</v>
      </c>
      <c r="G72" s="6">
        <v>113.76513356285989</v>
      </c>
    </row>
    <row r="73" spans="1:7">
      <c r="A73" s="9">
        <v>45104</v>
      </c>
      <c r="B73">
        <v>16.7943</v>
      </c>
      <c r="C73">
        <v>-0.11384999999999934</v>
      </c>
      <c r="D73">
        <v>-1</v>
      </c>
      <c r="E73" s="5">
        <v>-6.7790857612403813E-3</v>
      </c>
      <c r="F73" s="6">
        <v>16.969999313354489</v>
      </c>
      <c r="G73" s="6">
        <v>112.70252965727616</v>
      </c>
    </row>
    <row r="74" spans="1:7">
      <c r="A74" s="9">
        <v>45105</v>
      </c>
      <c r="B74">
        <v>16.836449999999999</v>
      </c>
      <c r="C74">
        <v>4.2149999999999466E-2</v>
      </c>
      <c r="D74">
        <v>1</v>
      </c>
      <c r="E74" s="5">
        <v>2.503496877310803E-3</v>
      </c>
      <c r="F74" s="6">
        <v>15.97999954223633</v>
      </c>
      <c r="G74" s="6">
        <v>106.12766324126301</v>
      </c>
    </row>
    <row r="75" spans="1:7">
      <c r="A75" s="9">
        <v>45106</v>
      </c>
      <c r="B75">
        <v>16.752800000000001</v>
      </c>
      <c r="C75">
        <v>-8.364999999999867E-2</v>
      </c>
      <c r="D75">
        <v>-1</v>
      </c>
      <c r="E75" s="5">
        <v>-4.9931951673749262E-3</v>
      </c>
      <c r="F75" s="6">
        <v>17.20000076293945</v>
      </c>
      <c r="G75" s="6">
        <v>114.23003385538576</v>
      </c>
    </row>
    <row r="76" spans="1:7">
      <c r="A76" s="9">
        <v>45107</v>
      </c>
      <c r="B76">
        <v>16.796050000000001</v>
      </c>
      <c r="C76">
        <v>4.3250000000000455E-2</v>
      </c>
      <c r="D76">
        <v>1</v>
      </c>
      <c r="E76" s="5">
        <v>2.5750101958496464E-3</v>
      </c>
      <c r="F76" s="6">
        <v>15.079999923706049</v>
      </c>
      <c r="G76" s="6">
        <v>100.1505131055453</v>
      </c>
    </row>
    <row r="77" spans="1:7">
      <c r="A77" s="9">
        <v>45108</v>
      </c>
      <c r="B77">
        <v>16.744150000000001</v>
      </c>
      <c r="C77">
        <v>-5.1899999999999835E-2</v>
      </c>
      <c r="D77">
        <v>-1</v>
      </c>
      <c r="E77" s="5">
        <v>-3.0995900060618083E-3</v>
      </c>
      <c r="F77" s="6">
        <v>14.44999980926514</v>
      </c>
      <c r="G77" s="6">
        <v>95.966505477095438</v>
      </c>
    </row>
    <row r="78" spans="1:7">
      <c r="A78" s="9">
        <v>45109</v>
      </c>
      <c r="B78">
        <v>17.044550000000001</v>
      </c>
      <c r="C78">
        <v>0.30039999999999978</v>
      </c>
      <c r="D78">
        <v>1</v>
      </c>
      <c r="E78" s="5">
        <v>1.7624401934929333E-2</v>
      </c>
      <c r="F78" s="6">
        <v>13.88000011444092</v>
      </c>
      <c r="G78" s="6">
        <v>92.180977480048838</v>
      </c>
    </row>
    <row r="79" spans="1:7">
      <c r="A79" s="9">
        <v>45110</v>
      </c>
      <c r="B79">
        <v>17.095199999999998</v>
      </c>
      <c r="C79">
        <v>5.0649999999997419E-2</v>
      </c>
      <c r="D79">
        <v>1</v>
      </c>
      <c r="E79" s="5">
        <v>2.9628199728577278E-3</v>
      </c>
      <c r="F79" s="6">
        <v>13.569999694824221</v>
      </c>
      <c r="G79" s="6">
        <v>90.122177662766305</v>
      </c>
    </row>
    <row r="80" spans="1:7">
      <c r="A80" s="9">
        <v>45111</v>
      </c>
      <c r="B80">
        <v>17.582000000000001</v>
      </c>
      <c r="C80">
        <v>0.48680000000000234</v>
      </c>
      <c r="D80">
        <v>1</v>
      </c>
      <c r="E80" s="5">
        <v>2.7687407575930061E-2</v>
      </c>
      <c r="F80" s="6">
        <v>14.010000228881839</v>
      </c>
      <c r="G80" s="6">
        <v>93.044344736740314</v>
      </c>
    </row>
    <row r="81" spans="1:7">
      <c r="A81" s="9">
        <v>45112</v>
      </c>
      <c r="B81">
        <v>17.6096</v>
      </c>
      <c r="C81">
        <v>2.7599999999999625E-2</v>
      </c>
      <c r="D81">
        <v>1</v>
      </c>
      <c r="E81" s="5">
        <v>1.5673269125931098E-3</v>
      </c>
      <c r="F81" s="6">
        <v>14.44999980926514</v>
      </c>
      <c r="G81" s="6">
        <v>95.966505477095438</v>
      </c>
    </row>
    <row r="82" spans="1:7">
      <c r="A82" s="9">
        <v>45113</v>
      </c>
      <c r="B82">
        <v>17.595079999999999</v>
      </c>
      <c r="C82">
        <v>-1.4520000000000977E-2</v>
      </c>
      <c r="D82">
        <v>-1</v>
      </c>
      <c r="E82" s="5">
        <v>-8.2523068948825331E-4</v>
      </c>
      <c r="F82" s="6">
        <v>14.39999961853027</v>
      </c>
      <c r="G82" s="6">
        <v>95.634440173195784</v>
      </c>
    </row>
    <row r="83" spans="1:7">
      <c r="A83" s="9">
        <v>45114</v>
      </c>
      <c r="B83">
        <v>17.225449999999999</v>
      </c>
      <c r="C83">
        <v>-0.36963000000000079</v>
      </c>
      <c r="D83">
        <v>-1</v>
      </c>
      <c r="E83" s="5">
        <v>-2.145836538377812E-2</v>
      </c>
      <c r="F83" s="6">
        <v>13.80000019073486</v>
      </c>
      <c r="G83" s="6">
        <v>91.649675527256974</v>
      </c>
    </row>
    <row r="84" spans="1:7">
      <c r="A84" s="9">
        <v>45115</v>
      </c>
      <c r="B84">
        <v>17.152999999999999</v>
      </c>
      <c r="C84">
        <v>-7.2449999999999903E-2</v>
      </c>
      <c r="D84">
        <v>-1</v>
      </c>
      <c r="E84" s="5">
        <v>-4.2237509473561424E-3</v>
      </c>
      <c r="F84" s="6">
        <v>14.22999954223633</v>
      </c>
      <c r="G84" s="6">
        <v>94.505421940108434</v>
      </c>
    </row>
    <row r="85" spans="1:7">
      <c r="A85" s="9">
        <v>45116</v>
      </c>
      <c r="B85">
        <v>17.112500000000001</v>
      </c>
      <c r="C85">
        <v>-4.0499999999997982E-2</v>
      </c>
      <c r="D85">
        <v>-1</v>
      </c>
      <c r="E85" s="5">
        <v>-2.3666910153395458E-3</v>
      </c>
      <c r="F85" s="6">
        <v>13.47999954223633</v>
      </c>
      <c r="G85" s="6">
        <v>89.524461382470761</v>
      </c>
    </row>
    <row r="86" spans="1:7">
      <c r="A86" s="9">
        <v>45117</v>
      </c>
      <c r="B86">
        <v>17.083749999999998</v>
      </c>
      <c r="C86">
        <v>-2.8750000000002274E-2</v>
      </c>
      <c r="D86">
        <v>-1</v>
      </c>
      <c r="E86" s="5">
        <v>-1.682885783273712E-3</v>
      </c>
      <c r="F86" s="6">
        <v>12.819999694824221</v>
      </c>
      <c r="G86" s="6">
        <v>85.141217105128632</v>
      </c>
    </row>
    <row r="87" spans="1:7">
      <c r="A87" s="9">
        <v>45118</v>
      </c>
      <c r="B87">
        <v>17.084250000000001</v>
      </c>
      <c r="C87">
        <v>5.0000000000238742E-4</v>
      </c>
      <c r="D87">
        <v>1</v>
      </c>
      <c r="E87" s="5">
        <v>2.9266722273578729E-5</v>
      </c>
      <c r="F87" s="6">
        <v>14</v>
      </c>
      <c r="G87" s="6">
        <v>92.977930409236592</v>
      </c>
    </row>
    <row r="88" spans="1:7">
      <c r="A88" s="9">
        <v>45119</v>
      </c>
      <c r="B88">
        <v>17.094449999999998</v>
      </c>
      <c r="C88">
        <v>1.0199999999997544E-2</v>
      </c>
      <c r="D88">
        <v>1</v>
      </c>
      <c r="E88" s="5">
        <v>5.9668488895504358E-4</v>
      </c>
      <c r="F88" s="6">
        <v>14.10999965667725</v>
      </c>
      <c r="G88" s="6">
        <v>93.70846901092068</v>
      </c>
    </row>
    <row r="89" spans="1:7">
      <c r="A89" s="9">
        <v>45120</v>
      </c>
      <c r="B89">
        <v>17.235299999999999</v>
      </c>
      <c r="C89">
        <v>0.14085000000000036</v>
      </c>
      <c r="D89">
        <v>1</v>
      </c>
      <c r="E89" s="5">
        <v>8.1721815112008704E-3</v>
      </c>
      <c r="F89" s="6">
        <v>15.14000034332275</v>
      </c>
      <c r="G89" s="6">
        <v>100.54899273694863</v>
      </c>
    </row>
    <row r="90" spans="1:7">
      <c r="A90" s="9">
        <v>45121</v>
      </c>
      <c r="B90">
        <v>17.21855</v>
      </c>
      <c r="C90">
        <v>-1.6749999999998266E-2</v>
      </c>
      <c r="D90">
        <v>-1</v>
      </c>
      <c r="E90" s="5">
        <v>-9.7278806868164082E-4</v>
      </c>
      <c r="F90" s="6">
        <v>17.54000091552734</v>
      </c>
      <c r="G90" s="6">
        <v>116.48807032156053</v>
      </c>
    </row>
    <row r="91" spans="1:7">
      <c r="A91" s="9">
        <v>45122</v>
      </c>
      <c r="B91">
        <v>17.548400000000001</v>
      </c>
      <c r="C91">
        <v>0.32985000000000042</v>
      </c>
      <c r="D91">
        <v>1</v>
      </c>
      <c r="E91" s="5">
        <v>1.8796585443687196E-2</v>
      </c>
      <c r="F91" s="6">
        <v>16.89999961853027</v>
      </c>
      <c r="G91" s="6">
        <v>112.23764203198803</v>
      </c>
    </row>
    <row r="92" spans="1:7">
      <c r="A92" s="9">
        <v>45123</v>
      </c>
      <c r="B92">
        <v>17.669750000000001</v>
      </c>
      <c r="C92">
        <v>0.12134999999999962</v>
      </c>
      <c r="D92">
        <v>1</v>
      </c>
      <c r="E92" s="5">
        <v>6.8676693218636155E-3</v>
      </c>
      <c r="F92" s="6">
        <v>18.940000534057621</v>
      </c>
      <c r="G92" s="6">
        <v>125.78586082903666</v>
      </c>
    </row>
    <row r="93" spans="1:7">
      <c r="A93" s="9">
        <v>45124</v>
      </c>
      <c r="B93">
        <v>17.540299999999998</v>
      </c>
      <c r="C93">
        <v>-0.12945000000000206</v>
      </c>
      <c r="D93">
        <v>-1</v>
      </c>
      <c r="E93" s="5">
        <v>-7.3801474319140532E-3</v>
      </c>
      <c r="F93" s="6">
        <v>18.219999313354489</v>
      </c>
      <c r="G93" s="6">
        <v>121.0041305866723</v>
      </c>
    </row>
    <row r="94" spans="1:7">
      <c r="A94" s="9">
        <v>45125</v>
      </c>
      <c r="B94">
        <v>17.418299999999999</v>
      </c>
      <c r="C94">
        <v>-0.12199999999999989</v>
      </c>
      <c r="D94">
        <v>-1</v>
      </c>
      <c r="E94" s="5">
        <v>-7.0041278425563855E-3</v>
      </c>
      <c r="F94" s="6">
        <v>17.340000152587891</v>
      </c>
      <c r="G94" s="6">
        <v>115.15980910596207</v>
      </c>
    </row>
    <row r="95" spans="1:7">
      <c r="A95" s="9">
        <v>45126</v>
      </c>
      <c r="B95">
        <v>18.072399999999998</v>
      </c>
      <c r="C95">
        <v>0.65409999999999968</v>
      </c>
      <c r="D95">
        <v>1</v>
      </c>
      <c r="E95" s="5">
        <v>3.6193311347690389E-2</v>
      </c>
      <c r="F95" s="6">
        <v>17.610000610351559</v>
      </c>
      <c r="G95" s="6">
        <v>116.95295794684866</v>
      </c>
    </row>
    <row r="96" spans="1:7">
      <c r="A96" s="9">
        <v>45127</v>
      </c>
      <c r="B96">
        <v>17.955480000000001</v>
      </c>
      <c r="C96">
        <v>-0.1169199999999968</v>
      </c>
      <c r="D96">
        <v>-1</v>
      </c>
      <c r="E96" s="5">
        <v>-6.5116610639201402E-3</v>
      </c>
      <c r="F96" s="6">
        <v>19.780000686645511</v>
      </c>
      <c r="G96" s="6">
        <v>131.36453766696988</v>
      </c>
    </row>
    <row r="97" spans="1:7">
      <c r="A97" s="9">
        <v>45128</v>
      </c>
      <c r="B97">
        <v>18.26005</v>
      </c>
      <c r="C97">
        <v>0.30456999999999823</v>
      </c>
      <c r="D97">
        <v>1</v>
      </c>
      <c r="E97" s="5">
        <v>1.6679581928855519E-2</v>
      </c>
      <c r="F97" s="6">
        <v>18.579999923706051</v>
      </c>
      <c r="G97" s="6">
        <v>123.39499570785446</v>
      </c>
    </row>
    <row r="98" spans="1:7">
      <c r="A98" s="9">
        <v>45129</v>
      </c>
      <c r="B98">
        <v>18.1784</v>
      </c>
      <c r="C98">
        <v>-8.1649999999999778E-2</v>
      </c>
      <c r="D98">
        <v>-1</v>
      </c>
      <c r="E98" s="5">
        <v>-4.4915944197509014E-3</v>
      </c>
      <c r="F98" s="6">
        <v>18.489999771118161</v>
      </c>
      <c r="G98" s="6">
        <v>122.79727942755892</v>
      </c>
    </row>
    <row r="99" spans="1:7">
      <c r="A99" s="9">
        <v>45130</v>
      </c>
      <c r="B99">
        <v>17.9376</v>
      </c>
      <c r="C99">
        <v>-0.24080000000000013</v>
      </c>
      <c r="D99">
        <v>-1</v>
      </c>
      <c r="E99" s="5">
        <v>-1.3424315404513431E-2</v>
      </c>
      <c r="F99" s="6">
        <v>17.70000076293945</v>
      </c>
      <c r="G99" s="6">
        <v>117.5506742271442</v>
      </c>
    </row>
    <row r="100" spans="1:7">
      <c r="A100" s="9">
        <v>45131</v>
      </c>
      <c r="B100">
        <v>17.8322</v>
      </c>
      <c r="C100">
        <v>-0.10539999999999949</v>
      </c>
      <c r="D100">
        <v>-1</v>
      </c>
      <c r="E100" s="5">
        <v>-5.9106560043067869E-3</v>
      </c>
      <c r="F100" s="6">
        <v>17.030000686645511</v>
      </c>
      <c r="G100" s="6">
        <v>113.10101562229842</v>
      </c>
    </row>
    <row r="101" spans="1:7">
      <c r="A101" s="9">
        <v>45132</v>
      </c>
      <c r="B101">
        <v>17.984359999999999</v>
      </c>
      <c r="C101">
        <v>0.15215999999999852</v>
      </c>
      <c r="D101">
        <v>1</v>
      </c>
      <c r="E101" s="5">
        <v>8.4606847282860508E-3</v>
      </c>
      <c r="F101" s="6">
        <v>16.090000152587891</v>
      </c>
      <c r="G101" s="6">
        <v>106.85820817656592</v>
      </c>
    </row>
    <row r="102" spans="1:7">
      <c r="A102" s="9">
        <v>45133</v>
      </c>
      <c r="B102">
        <v>18.090859999999999</v>
      </c>
      <c r="C102">
        <v>0.10650000000000048</v>
      </c>
      <c r="D102">
        <v>1</v>
      </c>
      <c r="E102" s="5">
        <v>5.8869506480068107E-3</v>
      </c>
      <c r="F102" s="6">
        <v>16.690000534057621</v>
      </c>
      <c r="G102" s="6">
        <v>110.84297915612365</v>
      </c>
    </row>
    <row r="103" spans="1:7">
      <c r="A103" s="9">
        <v>45134</v>
      </c>
      <c r="B103">
        <v>18.017600000000002</v>
      </c>
      <c r="C103">
        <v>-7.325999999999766E-2</v>
      </c>
      <c r="D103">
        <v>-1</v>
      </c>
      <c r="E103" s="5">
        <v>-4.0660243317643665E-3</v>
      </c>
      <c r="F103" s="6">
        <v>17.20999908447266</v>
      </c>
      <c r="G103" s="6">
        <v>114.29643551565174</v>
      </c>
    </row>
    <row r="104" spans="1:7">
      <c r="A104" s="9">
        <v>45135</v>
      </c>
      <c r="B104">
        <v>18.249649999999999</v>
      </c>
      <c r="C104">
        <v>0.23204999999999742</v>
      </c>
      <c r="D104">
        <v>1</v>
      </c>
      <c r="E104" s="5">
        <v>1.2715312348455857E-2</v>
      </c>
      <c r="F104" s="6">
        <v>17.879999160766602</v>
      </c>
      <c r="G104" s="6">
        <v>118.74609412049755</v>
      </c>
    </row>
    <row r="105" spans="1:7">
      <c r="A105" s="9">
        <v>45136</v>
      </c>
      <c r="B105">
        <v>18.325800000000001</v>
      </c>
      <c r="C105">
        <v>7.6150000000001938E-2</v>
      </c>
      <c r="D105">
        <v>1</v>
      </c>
      <c r="E105" s="5">
        <v>4.1553438321929705E-3</v>
      </c>
      <c r="F105" s="6">
        <v>19.219999313354489</v>
      </c>
      <c r="G105" s="6">
        <v>127.64541133018921</v>
      </c>
    </row>
    <row r="106" spans="1:7">
      <c r="A106" s="9">
        <v>45137</v>
      </c>
      <c r="B106">
        <v>18.23725</v>
      </c>
      <c r="C106">
        <v>-8.8550000000001461E-2</v>
      </c>
      <c r="D106">
        <v>-1</v>
      </c>
      <c r="E106" s="5">
        <v>-4.8554469560926931E-3</v>
      </c>
      <c r="F106" s="6">
        <v>21.39999961853027</v>
      </c>
      <c r="G106" s="6">
        <v>142.12340537781407</v>
      </c>
    </row>
    <row r="107" spans="1:7">
      <c r="A107" s="9">
        <v>45138</v>
      </c>
      <c r="B107">
        <v>18.25695</v>
      </c>
      <c r="C107">
        <v>1.9700000000000273E-2</v>
      </c>
      <c r="D107">
        <v>1</v>
      </c>
      <c r="E107" s="5">
        <v>1.0790411322811463E-3</v>
      </c>
      <c r="F107" s="6">
        <v>20.370000839233398</v>
      </c>
      <c r="G107" s="6">
        <v>135.28289431902385</v>
      </c>
    </row>
    <row r="108" spans="1:7">
      <c r="A108" s="9">
        <v>45139</v>
      </c>
      <c r="B108">
        <v>18.32835</v>
      </c>
      <c r="C108">
        <v>7.1400000000000574E-2</v>
      </c>
      <c r="D108">
        <v>1</v>
      </c>
      <c r="E108" s="5">
        <v>3.8956043506371591E-3</v>
      </c>
      <c r="F108" s="6">
        <v>18.969999313354489</v>
      </c>
      <c r="G108" s="6">
        <v>125.98509114430998</v>
      </c>
    </row>
    <row r="109" spans="1:7">
      <c r="A109" s="9">
        <v>45140</v>
      </c>
      <c r="B109">
        <v>18.1539</v>
      </c>
      <c r="C109">
        <v>-0.17445000000000022</v>
      </c>
      <c r="D109">
        <v>-1</v>
      </c>
      <c r="E109" s="5">
        <v>-9.6095053955348557E-3</v>
      </c>
      <c r="F109" s="6">
        <v>20.190000534057621</v>
      </c>
      <c r="G109" s="6">
        <v>134.0874617584328</v>
      </c>
    </row>
    <row r="110" spans="1:7">
      <c r="A110" s="9">
        <v>45141</v>
      </c>
      <c r="B110">
        <v>18.117750000000001</v>
      </c>
      <c r="C110">
        <v>-3.6149999999999238E-2</v>
      </c>
      <c r="D110">
        <v>-1</v>
      </c>
      <c r="E110" s="5">
        <v>-1.9952808709690351E-3</v>
      </c>
      <c r="F110" s="6">
        <v>20.680000305175781</v>
      </c>
      <c r="G110" s="6">
        <v>137.34168780268752</v>
      </c>
    </row>
    <row r="111" spans="1:7">
      <c r="A111" s="9">
        <v>45142</v>
      </c>
      <c r="B111">
        <v>18.064350000000001</v>
      </c>
      <c r="C111">
        <v>-5.3399999999999892E-2</v>
      </c>
      <c r="D111">
        <v>-1</v>
      </c>
      <c r="E111" s="5">
        <v>-2.9560986141211774E-3</v>
      </c>
      <c r="F111" s="6">
        <v>19.75</v>
      </c>
      <c r="G111" s="6">
        <v>131.16529468445876</v>
      </c>
    </row>
    <row r="112" spans="1:7">
      <c r="A112" s="9">
        <v>45143</v>
      </c>
      <c r="B112">
        <v>17.777100000000001</v>
      </c>
      <c r="C112">
        <v>-0.28725000000000023</v>
      </c>
      <c r="D112">
        <v>-1</v>
      </c>
      <c r="E112" s="5">
        <v>-1.6158428540088102E-2</v>
      </c>
      <c r="F112" s="6">
        <v>18.139999389648441</v>
      </c>
      <c r="G112" s="6">
        <v>120.47282863388051</v>
      </c>
    </row>
    <row r="113" spans="1:7">
      <c r="A113" s="9">
        <v>45144</v>
      </c>
      <c r="B113">
        <v>17.512219999999999</v>
      </c>
      <c r="C113">
        <v>-0.26488000000000156</v>
      </c>
      <c r="D113">
        <v>-1</v>
      </c>
      <c r="E113" s="5">
        <v>-1.5125438122636741E-2</v>
      </c>
      <c r="F113" s="6">
        <v>16.870000839233398</v>
      </c>
      <c r="G113" s="6">
        <v>112.03841171671472</v>
      </c>
    </row>
    <row r="114" spans="1:7">
      <c r="A114" s="9">
        <v>45145</v>
      </c>
      <c r="B114">
        <v>17.460419999999999</v>
      </c>
      <c r="C114">
        <v>-5.1800000000000068E-2</v>
      </c>
      <c r="D114">
        <v>-1</v>
      </c>
      <c r="E114" s="5">
        <v>-2.9667098500494303E-3</v>
      </c>
      <c r="F114" s="6">
        <v>15.659999847412109</v>
      </c>
      <c r="G114" s="6">
        <v>104.00245543009564</v>
      </c>
    </row>
    <row r="115" spans="1:7">
      <c r="A115" s="9">
        <v>45146</v>
      </c>
      <c r="B115">
        <v>17.476849999999999</v>
      </c>
      <c r="C115">
        <v>1.6429999999999723E-2</v>
      </c>
      <c r="D115">
        <v>1</v>
      </c>
      <c r="E115" s="5">
        <v>9.4010076186496557E-4</v>
      </c>
      <c r="F115" s="6">
        <v>14.89000034332275</v>
      </c>
      <c r="G115" s="6">
        <v>98.888672551069405</v>
      </c>
    </row>
    <row r="116" spans="1:7">
      <c r="A116" s="9">
        <v>45147</v>
      </c>
      <c r="B116">
        <v>17.536200000000001</v>
      </c>
      <c r="C116">
        <v>5.9350000000002012E-2</v>
      </c>
      <c r="D116">
        <v>1</v>
      </c>
      <c r="E116" s="5">
        <v>3.3844276411082222E-3</v>
      </c>
      <c r="F116" s="6">
        <v>14.810000419616699</v>
      </c>
      <c r="G116" s="6">
        <v>98.357370598277583</v>
      </c>
    </row>
    <row r="117" spans="1:7">
      <c r="A117" s="9">
        <v>45148</v>
      </c>
      <c r="B117">
        <v>17.821000000000002</v>
      </c>
      <c r="C117">
        <v>0.28480000000000061</v>
      </c>
      <c r="D117">
        <v>1</v>
      </c>
      <c r="E117" s="5">
        <v>1.5981145839178531E-2</v>
      </c>
      <c r="F117" s="6">
        <v>14.44999980926514</v>
      </c>
      <c r="G117" s="6">
        <v>95.966505477095438</v>
      </c>
    </row>
    <row r="118" spans="1:7">
      <c r="A118" s="9">
        <v>45149</v>
      </c>
      <c r="B118">
        <v>17.645800000000001</v>
      </c>
      <c r="C118">
        <v>-0.17520000000000024</v>
      </c>
      <c r="D118">
        <v>-1</v>
      </c>
      <c r="E118" s="5">
        <v>-9.9287082478550261E-3</v>
      </c>
      <c r="F118" s="6">
        <v>15.289999961853029</v>
      </c>
      <c r="G118" s="6">
        <v>101.54518231502865</v>
      </c>
    </row>
    <row r="119" spans="1:7">
      <c r="A119" s="9">
        <v>45150</v>
      </c>
      <c r="B119">
        <v>17.339500000000001</v>
      </c>
      <c r="C119">
        <v>-0.30630000000000024</v>
      </c>
      <c r="D119">
        <v>-1</v>
      </c>
      <c r="E119" s="5">
        <v>-1.7664869229216541E-2</v>
      </c>
      <c r="F119" s="6">
        <v>14.760000228881839</v>
      </c>
      <c r="G119" s="6">
        <v>98.025305294378001</v>
      </c>
    </row>
    <row r="120" spans="1:7">
      <c r="A120" s="9">
        <v>45151</v>
      </c>
      <c r="B120">
        <v>17.297249999999998</v>
      </c>
      <c r="C120">
        <v>-4.2250000000002785E-2</v>
      </c>
      <c r="D120">
        <v>-1</v>
      </c>
      <c r="E120" s="5">
        <v>-2.4425848039429845E-3</v>
      </c>
      <c r="F120" s="6">
        <v>14.159999847412109</v>
      </c>
      <c r="G120" s="6">
        <v>94.040534314820277</v>
      </c>
    </row>
    <row r="121" spans="1:7">
      <c r="A121" s="9">
        <v>45152</v>
      </c>
      <c r="B121">
        <v>17.22775</v>
      </c>
      <c r="C121">
        <v>-6.9499999999997897E-2</v>
      </c>
      <c r="D121">
        <v>-1</v>
      </c>
      <c r="E121" s="5">
        <v>-4.034189026425267E-3</v>
      </c>
      <c r="F121" s="6">
        <v>14.180000305175779</v>
      </c>
      <c r="G121" s="6">
        <v>94.173362969827664</v>
      </c>
    </row>
    <row r="122" spans="1:7">
      <c r="A122" s="9">
        <v>45153</v>
      </c>
      <c r="B122">
        <v>17.229050000000001</v>
      </c>
      <c r="C122">
        <v>1.300000000000523E-3</v>
      </c>
      <c r="D122">
        <v>1</v>
      </c>
      <c r="E122" s="5">
        <v>7.5453957124770252E-5</v>
      </c>
      <c r="F122" s="6">
        <v>14.319999694824221</v>
      </c>
      <c r="G122" s="6">
        <v>95.103138220403977</v>
      </c>
    </row>
    <row r="123" spans="1:7">
      <c r="A123" s="9">
        <v>45154</v>
      </c>
      <c r="B123">
        <v>17.196950000000001</v>
      </c>
      <c r="C123">
        <v>-3.2099999999999795E-2</v>
      </c>
      <c r="D123">
        <v>-1</v>
      </c>
      <c r="E123" s="5">
        <v>-1.8666100674828846E-3</v>
      </c>
      <c r="F123" s="6">
        <v>13.409999847412109</v>
      </c>
      <c r="G123" s="6">
        <v>89.059573757182605</v>
      </c>
    </row>
    <row r="124" spans="1:7">
      <c r="A124" s="9">
        <v>45155</v>
      </c>
      <c r="B124">
        <v>17.19445</v>
      </c>
      <c r="C124">
        <v>-2.500000000001279E-3</v>
      </c>
      <c r="D124">
        <v>-1</v>
      </c>
      <c r="E124" s="5">
        <v>-1.4539575269934652E-4</v>
      </c>
      <c r="F124" s="6">
        <v>13.35000038146973</v>
      </c>
      <c r="G124" s="6">
        <v>88.661100459398185</v>
      </c>
    </row>
    <row r="125" spans="1:7">
      <c r="A125" s="9">
        <v>45156</v>
      </c>
      <c r="B125">
        <v>17.1861</v>
      </c>
      <c r="C125">
        <v>-8.3500000000000796E-3</v>
      </c>
      <c r="D125">
        <v>-1</v>
      </c>
      <c r="E125" s="5">
        <v>-4.8585775714094995E-4</v>
      </c>
      <c r="F125" s="6">
        <v>12.85000038146973</v>
      </c>
      <c r="G125" s="6">
        <v>85.340460087639741</v>
      </c>
    </row>
    <row r="126" spans="1:7">
      <c r="A126" s="9">
        <v>45157</v>
      </c>
      <c r="B126">
        <v>17.140550000000001</v>
      </c>
      <c r="C126">
        <v>-4.5549999999998647E-2</v>
      </c>
      <c r="D126">
        <v>-1</v>
      </c>
      <c r="E126" s="5">
        <v>-2.6574409805985599E-3</v>
      </c>
      <c r="F126" s="6">
        <v>12.689999580383301</v>
      </c>
      <c r="G126" s="6">
        <v>84.277849848437143</v>
      </c>
    </row>
    <row r="127" spans="1:7">
      <c r="A127" s="9">
        <v>45158</v>
      </c>
      <c r="B127">
        <v>17.283550000000002</v>
      </c>
      <c r="C127">
        <v>0.14300000000000068</v>
      </c>
      <c r="D127">
        <v>1</v>
      </c>
      <c r="E127" s="5">
        <v>8.2737632025828411E-3</v>
      </c>
      <c r="F127" s="6">
        <v>12.689999580383301</v>
      </c>
      <c r="G127" s="6">
        <v>84.277849848437143</v>
      </c>
    </row>
    <row r="128" spans="1:7">
      <c r="A128" s="9">
        <v>45159</v>
      </c>
      <c r="B128">
        <v>17.3902</v>
      </c>
      <c r="C128">
        <v>0.10664999999999836</v>
      </c>
      <c r="D128">
        <v>1</v>
      </c>
      <c r="E128" s="5">
        <v>6.1327644305412448E-3</v>
      </c>
      <c r="F128" s="6">
        <v>12.97999954223633</v>
      </c>
      <c r="G128" s="6">
        <v>86.203821010712318</v>
      </c>
    </row>
    <row r="129" spans="1:7">
      <c r="A129" s="9">
        <v>45160</v>
      </c>
      <c r="B129">
        <v>17.18655</v>
      </c>
      <c r="C129">
        <v>-0.20364999999999966</v>
      </c>
      <c r="D129">
        <v>-1</v>
      </c>
      <c r="E129" s="5">
        <v>-1.1849382220399071E-2</v>
      </c>
      <c r="F129" s="6">
        <v>12.920000076293951</v>
      </c>
      <c r="G129" s="6">
        <v>85.805347712927897</v>
      </c>
    </row>
    <row r="130" spans="1:7">
      <c r="A130" s="9">
        <v>45161</v>
      </c>
      <c r="B130">
        <v>17.378499999999999</v>
      </c>
      <c r="C130">
        <v>0.19194999999999851</v>
      </c>
      <c r="D130">
        <v>1</v>
      </c>
      <c r="E130" s="5">
        <v>1.1045257070518084E-2</v>
      </c>
      <c r="F130" s="6">
        <v>13.079999923706049</v>
      </c>
      <c r="G130" s="6">
        <v>86.867951618511498</v>
      </c>
    </row>
    <row r="131" spans="1:7">
      <c r="A131" s="9">
        <v>45162</v>
      </c>
      <c r="B131">
        <v>17.277200000000001</v>
      </c>
      <c r="C131">
        <v>-0.10129999999999839</v>
      </c>
      <c r="D131">
        <v>-1</v>
      </c>
      <c r="E131" s="5">
        <v>-5.8632185770841564E-3</v>
      </c>
      <c r="F131" s="6">
        <v>12.85000038146973</v>
      </c>
      <c r="G131" s="6">
        <v>85.340460087639741</v>
      </c>
    </row>
    <row r="132" spans="1:7">
      <c r="A132" s="9">
        <v>45163</v>
      </c>
      <c r="B132">
        <v>17.4757</v>
      </c>
      <c r="C132">
        <v>0.19849999999999923</v>
      </c>
      <c r="D132">
        <v>1</v>
      </c>
      <c r="E132" s="5">
        <v>1.1358629411125119E-2</v>
      </c>
      <c r="F132" s="6">
        <v>12.97000026702881</v>
      </c>
      <c r="G132" s="6">
        <v>86.13741301682748</v>
      </c>
    </row>
    <row r="133" spans="1:7">
      <c r="A133" s="9">
        <v>45164</v>
      </c>
      <c r="B133">
        <v>17.34675</v>
      </c>
      <c r="C133">
        <v>-0.12894999999999968</v>
      </c>
      <c r="D133">
        <v>-1</v>
      </c>
      <c r="E133" s="5">
        <v>-7.4336691311052312E-3</v>
      </c>
      <c r="F133" s="6">
        <v>13.060000419616699</v>
      </c>
      <c r="G133" s="6">
        <v>86.735129297123009</v>
      </c>
    </row>
    <row r="134" spans="1:7">
      <c r="A134" s="9">
        <v>45165</v>
      </c>
      <c r="B134">
        <v>17.3062</v>
      </c>
      <c r="C134">
        <v>-4.0549999999999642E-2</v>
      </c>
      <c r="D134">
        <v>-1</v>
      </c>
      <c r="E134" s="5">
        <v>-2.343090915394462E-3</v>
      </c>
      <c r="F134" s="6">
        <v>12.63000011444092</v>
      </c>
      <c r="G134" s="6">
        <v>83.879376550652722</v>
      </c>
    </row>
    <row r="135" spans="1:7">
      <c r="A135" s="9">
        <v>45166</v>
      </c>
      <c r="B135">
        <v>17.235050000000001</v>
      </c>
      <c r="C135">
        <v>-7.114999999999938E-2</v>
      </c>
      <c r="D135">
        <v>-1</v>
      </c>
      <c r="E135" s="5">
        <v>-4.128215467898229E-3</v>
      </c>
      <c r="F135" s="6">
        <v>12.069999694824221</v>
      </c>
      <c r="G135" s="6">
        <v>80.160256547490945</v>
      </c>
    </row>
    <row r="136" spans="1:7">
      <c r="A136" s="9">
        <v>45167</v>
      </c>
      <c r="B136">
        <v>17.196100000000001</v>
      </c>
      <c r="C136">
        <v>-3.8949999999999818E-2</v>
      </c>
      <c r="D136">
        <v>-1</v>
      </c>
      <c r="E136" s="5">
        <v>-2.265048470292672E-3</v>
      </c>
      <c r="F136" s="6">
        <v>12.189999580383301</v>
      </c>
      <c r="G136" s="6">
        <v>80.957209476678699</v>
      </c>
    </row>
    <row r="137" spans="1:7">
      <c r="A137" s="9">
        <v>45168</v>
      </c>
      <c r="B137">
        <v>17.20665</v>
      </c>
      <c r="C137">
        <v>1.0549999999998505E-2</v>
      </c>
      <c r="D137">
        <v>1</v>
      </c>
      <c r="E137" s="5">
        <v>6.1313503790676887E-4</v>
      </c>
      <c r="F137" s="6">
        <v>12.47999954223633</v>
      </c>
      <c r="G137" s="6">
        <v>82.88318063895386</v>
      </c>
    </row>
    <row r="138" spans="1:7">
      <c r="A138" s="9">
        <v>45169</v>
      </c>
      <c r="B138">
        <v>17.070699999999999</v>
      </c>
      <c r="C138">
        <v>-0.13595000000000113</v>
      </c>
      <c r="D138">
        <v>-1</v>
      </c>
      <c r="E138" s="5">
        <v>-7.9639382099153007E-3</v>
      </c>
      <c r="F138" s="6">
        <v>12.560000419616699</v>
      </c>
      <c r="G138" s="6">
        <v>83.414488925364566</v>
      </c>
    </row>
    <row r="139" spans="1:7">
      <c r="A139" s="9">
        <v>45170</v>
      </c>
      <c r="B139">
        <v>17.145350000000001</v>
      </c>
      <c r="C139">
        <v>7.4650000000001882E-2</v>
      </c>
      <c r="D139">
        <v>1</v>
      </c>
      <c r="E139" s="5">
        <v>4.3539501964090484E-3</v>
      </c>
      <c r="F139" s="6">
        <v>12.52999973297119</v>
      </c>
      <c r="G139" s="6">
        <v>83.215245942853457</v>
      </c>
    </row>
    <row r="140" spans="1:7">
      <c r="A140" s="9">
        <v>45171</v>
      </c>
      <c r="B140">
        <v>17.023250000000001</v>
      </c>
      <c r="C140">
        <v>-0.12209999999999965</v>
      </c>
      <c r="D140">
        <v>-1</v>
      </c>
      <c r="E140" s="5">
        <v>-7.1725434332456876E-3</v>
      </c>
      <c r="F140" s="6">
        <v>13.670000076293951</v>
      </c>
      <c r="G140" s="6">
        <v>90.78630827056557</v>
      </c>
    </row>
    <row r="141" spans="1:7">
      <c r="A141" s="9">
        <v>45172</v>
      </c>
      <c r="B141">
        <v>16.978249999999999</v>
      </c>
      <c r="C141">
        <v>-4.5000000000001705E-2</v>
      </c>
      <c r="D141">
        <v>-1</v>
      </c>
      <c r="E141" s="5">
        <v>-2.650449840236874E-3</v>
      </c>
      <c r="F141" s="6">
        <v>13.64999961853027</v>
      </c>
      <c r="G141" s="6">
        <v>90.653479615558112</v>
      </c>
    </row>
    <row r="142" spans="1:7">
      <c r="A142" s="9">
        <v>45173</v>
      </c>
      <c r="B142">
        <v>16.919799999999999</v>
      </c>
      <c r="C142">
        <v>-5.8450000000000557E-2</v>
      </c>
      <c r="D142">
        <v>-1</v>
      </c>
      <c r="E142" s="5">
        <v>-3.4545325594865519E-3</v>
      </c>
      <c r="F142" s="6">
        <v>12.989999771118161</v>
      </c>
      <c r="G142" s="6">
        <v>86.270235338215969</v>
      </c>
    </row>
    <row r="143" spans="1:7">
      <c r="A143" s="9">
        <v>45174</v>
      </c>
      <c r="B143">
        <v>16.962299999999999</v>
      </c>
      <c r="C143">
        <v>4.2500000000000426E-2</v>
      </c>
      <c r="D143">
        <v>1</v>
      </c>
      <c r="E143" s="5">
        <v>2.5055564398696185E-3</v>
      </c>
      <c r="F143" s="6">
        <v>12.430000305175779</v>
      </c>
      <c r="G143" s="6">
        <v>82.55112166867309</v>
      </c>
    </row>
    <row r="144" spans="1:7">
      <c r="A144" s="9">
        <v>45175</v>
      </c>
      <c r="B144">
        <v>16.973500000000001</v>
      </c>
      <c r="C144">
        <v>1.1200000000002319E-2</v>
      </c>
      <c r="D144">
        <v>1</v>
      </c>
      <c r="E144" s="5">
        <v>6.5985212242627143E-4</v>
      </c>
      <c r="F144" s="6">
        <v>12.47000026702881</v>
      </c>
      <c r="G144" s="6">
        <v>82.816772645069037</v>
      </c>
    </row>
    <row r="145" spans="1:7">
      <c r="A145" s="9">
        <v>45176</v>
      </c>
      <c r="B145">
        <v>17.016300000000001</v>
      </c>
      <c r="C145">
        <v>4.2799999999999727E-2</v>
      </c>
      <c r="D145">
        <v>1</v>
      </c>
      <c r="E145" s="5">
        <v>2.5152353919477045E-3</v>
      </c>
      <c r="F145" s="6">
        <v>13.19999980926514</v>
      </c>
      <c r="G145" s="6">
        <v>87.664904547699322</v>
      </c>
    </row>
    <row r="146" spans="1:7">
      <c r="A146" s="9">
        <v>45177</v>
      </c>
      <c r="B146">
        <v>17.014500000000002</v>
      </c>
      <c r="C146">
        <v>-1.7999999999993577E-3</v>
      </c>
      <c r="D146">
        <v>-1</v>
      </c>
      <c r="E146" s="5">
        <v>-1.0579211848713495E-4</v>
      </c>
      <c r="F146" s="6">
        <v>14.039999961853029</v>
      </c>
      <c r="G146" s="6">
        <v>93.243581385632524</v>
      </c>
    </row>
    <row r="147" spans="1:7">
      <c r="A147" s="9">
        <v>45178</v>
      </c>
      <c r="B147">
        <v>16.883700000000001</v>
      </c>
      <c r="C147">
        <v>-0.13080000000000069</v>
      </c>
      <c r="D147">
        <v>-1</v>
      </c>
      <c r="E147" s="5">
        <v>-7.7471170418806712E-3</v>
      </c>
      <c r="F147" s="6">
        <v>14.13000011444092</v>
      </c>
      <c r="G147" s="6">
        <v>93.841297665928067</v>
      </c>
    </row>
    <row r="148" spans="1:7">
      <c r="A148" s="9">
        <v>45179</v>
      </c>
      <c r="B148">
        <v>16.96866</v>
      </c>
      <c r="C148">
        <v>8.4959999999998814E-2</v>
      </c>
      <c r="D148">
        <v>1</v>
      </c>
      <c r="E148" s="5">
        <v>5.0068773845429642E-3</v>
      </c>
      <c r="F148" s="6">
        <v>13.079999923706049</v>
      </c>
      <c r="G148" s="6">
        <v>86.867951618511498</v>
      </c>
    </row>
    <row r="149" spans="1:7">
      <c r="A149" s="9">
        <v>45180</v>
      </c>
      <c r="B149">
        <v>16.973500000000001</v>
      </c>
      <c r="C149">
        <v>4.8400000000015098E-3</v>
      </c>
      <c r="D149">
        <v>1</v>
      </c>
      <c r="E149" s="5">
        <v>2.8515038147709722E-4</v>
      </c>
      <c r="F149" s="6">
        <v>12.760000228881839</v>
      </c>
      <c r="G149" s="6">
        <v>84.742743807344183</v>
      </c>
    </row>
    <row r="150" spans="1:7">
      <c r="A150" s="9">
        <v>45181</v>
      </c>
      <c r="B150">
        <v>16.915500000000002</v>
      </c>
      <c r="C150">
        <v>-5.7999999999999829E-2</v>
      </c>
      <c r="D150">
        <v>-1</v>
      </c>
      <c r="E150" s="5">
        <v>-3.4288078980816306E-3</v>
      </c>
      <c r="F150" s="6">
        <v>12.689999580383301</v>
      </c>
      <c r="G150" s="6">
        <v>84.277849848437143</v>
      </c>
    </row>
    <row r="151" spans="1:7">
      <c r="A151" s="9">
        <v>45182</v>
      </c>
      <c r="B151">
        <v>16.864550000000001</v>
      </c>
      <c r="C151">
        <v>-5.0950000000000273E-2</v>
      </c>
      <c r="D151">
        <v>-1</v>
      </c>
      <c r="E151" s="5">
        <v>-3.0211301220607885E-3</v>
      </c>
      <c r="F151" s="6">
        <v>12.439999580383301</v>
      </c>
      <c r="G151" s="6">
        <v>82.617529662557928</v>
      </c>
    </row>
    <row r="152" spans="1:7">
      <c r="A152" s="9">
        <v>45183</v>
      </c>
      <c r="B152">
        <v>17.196149999999999</v>
      </c>
      <c r="C152">
        <v>0.33159999999999812</v>
      </c>
      <c r="D152">
        <v>1</v>
      </c>
      <c r="E152" s="5">
        <v>1.9283386106773791E-2</v>
      </c>
      <c r="F152" s="6">
        <v>13.840000152587891</v>
      </c>
      <c r="G152" s="6">
        <v>91.915326503652906</v>
      </c>
    </row>
    <row r="153" spans="1:7">
      <c r="A153" s="9">
        <v>45184</v>
      </c>
      <c r="B153">
        <v>17.16675</v>
      </c>
      <c r="C153">
        <v>-2.9399999999998983E-2</v>
      </c>
      <c r="D153">
        <v>-1</v>
      </c>
      <c r="E153" s="5">
        <v>-1.7126130455676807E-3</v>
      </c>
      <c r="F153" s="6">
        <v>14.789999961853029</v>
      </c>
      <c r="G153" s="6">
        <v>98.224541943270211</v>
      </c>
    </row>
    <row r="154" spans="1:7">
      <c r="A154" s="9">
        <v>45185</v>
      </c>
      <c r="B154">
        <v>17.081150000000001</v>
      </c>
      <c r="C154">
        <v>-8.5599999999999454E-2</v>
      </c>
      <c r="D154">
        <v>-1</v>
      </c>
      <c r="E154" s="5">
        <v>-5.011372185128018E-3</v>
      </c>
      <c r="F154" s="6">
        <v>14.13000011444092</v>
      </c>
      <c r="G154" s="6">
        <v>93.841297665928067</v>
      </c>
    </row>
    <row r="155" spans="1:7">
      <c r="A155" s="9">
        <v>45186</v>
      </c>
      <c r="B155">
        <v>17.302299999999999</v>
      </c>
      <c r="C155">
        <v>0.22114999999999796</v>
      </c>
      <c r="D155">
        <v>1</v>
      </c>
      <c r="E155" s="5">
        <v>1.2781537714638977E-2</v>
      </c>
      <c r="F155" s="6">
        <v>13.189999580383301</v>
      </c>
      <c r="G155" s="6">
        <v>87.5984902201956</v>
      </c>
    </row>
    <row r="156" spans="1:7">
      <c r="A156" s="9">
        <v>45187</v>
      </c>
      <c r="B156">
        <v>17.227599999999999</v>
      </c>
      <c r="C156">
        <v>-7.4699999999999989E-2</v>
      </c>
      <c r="D156">
        <v>-1</v>
      </c>
      <c r="E156" s="5">
        <v>-4.3360653834544566E-3</v>
      </c>
      <c r="F156" s="6">
        <v>12.55000019073486</v>
      </c>
      <c r="G156" s="6">
        <v>83.348074597860844</v>
      </c>
    </row>
    <row r="157" spans="1:7">
      <c r="A157" s="9">
        <v>45188</v>
      </c>
      <c r="B157">
        <v>17.19725</v>
      </c>
      <c r="C157">
        <v>-3.0349999999998545E-2</v>
      </c>
      <c r="D157">
        <v>-1</v>
      </c>
      <c r="E157" s="5">
        <v>-1.7648170492374387E-3</v>
      </c>
      <c r="F157" s="6">
        <v>13.14000034332275</v>
      </c>
      <c r="G157" s="6">
        <v>87.266431249914831</v>
      </c>
    </row>
    <row r="158" spans="1:7">
      <c r="A158" s="9">
        <v>45189</v>
      </c>
      <c r="B158">
        <v>17.158200000000001</v>
      </c>
      <c r="C158">
        <v>-3.9049999999999585E-2</v>
      </c>
      <c r="D158">
        <v>-1</v>
      </c>
      <c r="E158" s="5">
        <v>-2.2758797542865557E-3</v>
      </c>
      <c r="F158" s="6">
        <v>13.44999980926514</v>
      </c>
      <c r="G158" s="6">
        <v>89.325224733578551</v>
      </c>
    </row>
    <row r="159" spans="1:7">
      <c r="A159" s="9">
        <v>45190</v>
      </c>
      <c r="B159">
        <v>17.151599999999998</v>
      </c>
      <c r="C159">
        <v>-6.6000000000023817E-3</v>
      </c>
      <c r="D159">
        <v>-1</v>
      </c>
      <c r="E159" s="5">
        <v>-3.8480375008759427E-4</v>
      </c>
      <c r="F159" s="6">
        <v>13.60000038146973</v>
      </c>
      <c r="G159" s="6">
        <v>90.321420645277399</v>
      </c>
    </row>
    <row r="160" spans="1:7">
      <c r="A160" s="9">
        <v>45191</v>
      </c>
      <c r="B160">
        <v>17.216750000000001</v>
      </c>
      <c r="C160">
        <v>6.5150000000002706E-2</v>
      </c>
      <c r="D160">
        <v>1</v>
      </c>
      <c r="E160" s="5">
        <v>3.7841055948423892E-3</v>
      </c>
      <c r="F160" s="6">
        <v>13.310000419616699</v>
      </c>
      <c r="G160" s="6">
        <v>88.395449483002238</v>
      </c>
    </row>
    <row r="161" spans="1:7">
      <c r="A161" s="9">
        <v>45192</v>
      </c>
      <c r="B161">
        <v>17.080500000000001</v>
      </c>
      <c r="C161">
        <v>-0.13625000000000043</v>
      </c>
      <c r="D161">
        <v>-1</v>
      </c>
      <c r="E161" s="5">
        <v>-7.9769327595796621E-3</v>
      </c>
      <c r="F161" s="6">
        <v>14.35000038146973</v>
      </c>
      <c r="G161" s="6">
        <v>95.302381202915072</v>
      </c>
    </row>
    <row r="162" spans="1:7">
      <c r="A162" s="9">
        <v>45193</v>
      </c>
      <c r="B162">
        <v>17.1448</v>
      </c>
      <c r="C162">
        <v>6.4299999999999358E-2</v>
      </c>
      <c r="D162">
        <v>1</v>
      </c>
      <c r="E162" s="5">
        <v>3.7504082870607621E-3</v>
      </c>
      <c r="F162" s="6">
        <v>13.88000011444092</v>
      </c>
      <c r="G162" s="6">
        <v>92.180977480048838</v>
      </c>
    </row>
    <row r="163" spans="1:7">
      <c r="A163" s="9">
        <v>45194</v>
      </c>
      <c r="B163">
        <v>17.039950000000001</v>
      </c>
      <c r="C163">
        <v>-0.104849999999999</v>
      </c>
      <c r="D163">
        <v>-1</v>
      </c>
      <c r="E163" s="5">
        <v>-6.1531870692108246E-3</v>
      </c>
      <c r="F163" s="6">
        <v>13.670000076293951</v>
      </c>
      <c r="G163" s="6">
        <v>90.78630827056557</v>
      </c>
    </row>
    <row r="164" spans="1:7">
      <c r="A164" s="9">
        <v>45195</v>
      </c>
      <c r="B164">
        <v>17.047599999999999</v>
      </c>
      <c r="C164">
        <v>7.6499999999981583E-3</v>
      </c>
      <c r="D164">
        <v>1</v>
      </c>
      <c r="E164" s="5">
        <v>4.487435181490743E-4</v>
      </c>
      <c r="F164" s="6">
        <v>13.060000419616699</v>
      </c>
      <c r="G164" s="6">
        <v>86.735129297123009</v>
      </c>
    </row>
    <row r="165" spans="1:7">
      <c r="A165" s="9">
        <v>45196</v>
      </c>
      <c r="B165">
        <v>17.145800000000001</v>
      </c>
      <c r="C165">
        <v>9.8200000000002063E-2</v>
      </c>
      <c r="D165">
        <v>1</v>
      </c>
      <c r="E165" s="5">
        <v>5.7273501382263912E-3</v>
      </c>
      <c r="F165" s="6">
        <v>12.829999923706049</v>
      </c>
      <c r="G165" s="6">
        <v>85.207631432632283</v>
      </c>
    </row>
    <row r="166" spans="1:7">
      <c r="A166" s="9">
        <v>45197</v>
      </c>
      <c r="B166">
        <v>17.088650000000001</v>
      </c>
      <c r="C166">
        <v>-5.7150000000000034E-2</v>
      </c>
      <c r="D166">
        <v>-1</v>
      </c>
      <c r="E166" s="5">
        <v>-3.3443250344526942E-3</v>
      </c>
      <c r="F166" s="6">
        <v>12.789999961853029</v>
      </c>
      <c r="G166" s="6">
        <v>84.941980456236394</v>
      </c>
    </row>
    <row r="167" spans="1:7">
      <c r="A167" s="9">
        <v>45198</v>
      </c>
      <c r="B167">
        <v>17.198049999999999</v>
      </c>
      <c r="C167">
        <v>0.10939999999999728</v>
      </c>
      <c r="D167">
        <v>1</v>
      </c>
      <c r="E167" s="5">
        <v>6.3611862972835463E-3</v>
      </c>
      <c r="F167" s="6">
        <v>13.930000305175779</v>
      </c>
      <c r="G167" s="6">
        <v>92.513042783948435</v>
      </c>
    </row>
    <row r="168" spans="1:7">
      <c r="A168" s="9">
        <v>45199</v>
      </c>
      <c r="B168">
        <v>17.083100000000002</v>
      </c>
      <c r="C168">
        <v>-0.11494999999999678</v>
      </c>
      <c r="D168">
        <v>-1</v>
      </c>
      <c r="E168" s="5">
        <v>-6.7288723943544652E-3</v>
      </c>
      <c r="F168" s="6">
        <v>15.85000038146973</v>
      </c>
      <c r="G168" s="6">
        <v>105.26430231819045</v>
      </c>
    </row>
    <row r="169" spans="1:7">
      <c r="A169" s="9">
        <v>45200</v>
      </c>
      <c r="B169">
        <v>17.041599999999999</v>
      </c>
      <c r="C169">
        <v>-4.1500000000002757E-2</v>
      </c>
      <c r="D169">
        <v>-1</v>
      </c>
      <c r="E169" s="5">
        <v>-2.4352173504836845E-3</v>
      </c>
      <c r="F169" s="6">
        <v>14.38000011444092</v>
      </c>
      <c r="G169" s="6">
        <v>95.501617851807296</v>
      </c>
    </row>
    <row r="170" spans="1:7">
      <c r="A170" s="9">
        <v>45201</v>
      </c>
      <c r="B170">
        <v>17.055399999999999</v>
      </c>
      <c r="C170">
        <v>1.3799999999999812E-2</v>
      </c>
      <c r="D170">
        <v>1</v>
      </c>
      <c r="E170" s="5">
        <v>8.0912790084077847E-4</v>
      </c>
      <c r="F170" s="6">
        <v>14.010000228881839</v>
      </c>
      <c r="G170" s="6">
        <v>93.044344736740314</v>
      </c>
    </row>
    <row r="171" spans="1:7">
      <c r="A171" s="9">
        <v>45202</v>
      </c>
      <c r="B171">
        <v>17.0426</v>
      </c>
      <c r="C171">
        <v>-1.279999999999859E-2</v>
      </c>
      <c r="D171">
        <v>-1</v>
      </c>
      <c r="E171" s="5">
        <v>-7.5105911069898903E-4</v>
      </c>
      <c r="F171" s="6">
        <v>15.420000076293951</v>
      </c>
      <c r="G171" s="6">
        <v>102.40854957172014</v>
      </c>
    </row>
    <row r="172" spans="1:7">
      <c r="A172" s="9">
        <v>45203</v>
      </c>
      <c r="B172">
        <v>17.1084</v>
      </c>
      <c r="C172">
        <v>6.5799999999999415E-2</v>
      </c>
      <c r="D172">
        <v>1</v>
      </c>
      <c r="E172" s="5">
        <v>3.8460639218161497E-3</v>
      </c>
      <c r="F172" s="6">
        <v>15.340000152587891</v>
      </c>
      <c r="G172" s="6">
        <v>101.87724761892827</v>
      </c>
    </row>
    <row r="173" spans="1:7">
      <c r="A173" s="9">
        <v>45204</v>
      </c>
      <c r="B173">
        <v>17.121300000000002</v>
      </c>
      <c r="C173">
        <v>1.290000000000191E-2</v>
      </c>
      <c r="D173">
        <v>1</v>
      </c>
      <c r="E173" s="5">
        <v>7.5344746018128931E-4</v>
      </c>
      <c r="F173" s="6">
        <v>14.539999961853029</v>
      </c>
      <c r="G173" s="6">
        <v>96.564221757390982</v>
      </c>
    </row>
    <row r="174" spans="1:7">
      <c r="A174" s="9">
        <v>45205</v>
      </c>
      <c r="B174">
        <v>17.0623</v>
      </c>
      <c r="C174">
        <v>-5.9000000000001052E-2</v>
      </c>
      <c r="D174">
        <v>-1</v>
      </c>
      <c r="E174" s="5">
        <v>-3.457915990224123E-3</v>
      </c>
      <c r="F174" s="6">
        <v>13.739999771118161</v>
      </c>
      <c r="G174" s="6">
        <v>91.251195895853641</v>
      </c>
    </row>
    <row r="175" spans="1:7">
      <c r="A175" s="9">
        <v>45206</v>
      </c>
      <c r="B175">
        <v>17.093800000000002</v>
      </c>
      <c r="C175">
        <v>3.1500000000001194E-2</v>
      </c>
      <c r="D175">
        <v>1</v>
      </c>
      <c r="E175" s="5">
        <v>1.8427734032222907E-3</v>
      </c>
      <c r="F175" s="6">
        <v>13.430000305175779</v>
      </c>
      <c r="G175" s="6">
        <v>89.192402412189992</v>
      </c>
    </row>
    <row r="176" spans="1:7">
      <c r="A176" s="9">
        <v>45207</v>
      </c>
      <c r="B176">
        <v>17.054849999999998</v>
      </c>
      <c r="C176">
        <v>-3.8950000000003371E-2</v>
      </c>
      <c r="D176">
        <v>-1</v>
      </c>
      <c r="E176" s="5">
        <v>-2.2838078317899821E-3</v>
      </c>
      <c r="F176" s="6">
        <v>13.840000152587891</v>
      </c>
      <c r="G176" s="6">
        <v>91.915326503652906</v>
      </c>
    </row>
    <row r="177" spans="1:7">
      <c r="A177" s="9">
        <v>45208</v>
      </c>
      <c r="B177">
        <v>17.011849999999999</v>
      </c>
      <c r="C177">
        <v>-4.2999999999999261E-2</v>
      </c>
      <c r="D177">
        <v>-1</v>
      </c>
      <c r="E177" s="5">
        <v>-2.5276498440792309E-3</v>
      </c>
      <c r="F177" s="6">
        <v>13.39999961853027</v>
      </c>
      <c r="G177" s="6">
        <v>88.993159429678883</v>
      </c>
    </row>
    <row r="178" spans="1:7">
      <c r="A178" s="9">
        <v>45209</v>
      </c>
      <c r="B178">
        <v>16.947099999999999</v>
      </c>
      <c r="C178">
        <v>-6.4750000000000085E-2</v>
      </c>
      <c r="D178">
        <v>-1</v>
      </c>
      <c r="E178" s="5">
        <v>-3.8207126883065593E-3</v>
      </c>
      <c r="F178" s="6">
        <v>13.489999771118161</v>
      </c>
      <c r="G178" s="6">
        <v>89.590875709974426</v>
      </c>
    </row>
    <row r="179" spans="1:7">
      <c r="A179" s="9">
        <v>45210</v>
      </c>
      <c r="B179">
        <v>16.877700000000001</v>
      </c>
      <c r="C179">
        <v>-6.939999999999813E-2</v>
      </c>
      <c r="D179">
        <v>-1</v>
      </c>
      <c r="E179" s="5">
        <v>-4.1119346830431943E-3</v>
      </c>
      <c r="F179" s="6">
        <v>14.460000038146971</v>
      </c>
      <c r="G179" s="6">
        <v>96.032919804599118</v>
      </c>
    </row>
    <row r="180" spans="1:7">
      <c r="A180" s="9">
        <v>45211</v>
      </c>
      <c r="B180">
        <v>16.87565</v>
      </c>
      <c r="C180">
        <v>-2.0500000000005514E-3</v>
      </c>
      <c r="D180">
        <v>-1</v>
      </c>
      <c r="E180" s="5">
        <v>-1.2147680237505231E-4</v>
      </c>
      <c r="F180" s="6">
        <v>14.5</v>
      </c>
      <c r="G180" s="6">
        <v>96.298570780995036</v>
      </c>
    </row>
    <row r="181" spans="1:7">
      <c r="A181" s="9">
        <v>45212</v>
      </c>
      <c r="B181">
        <v>16.810600000000001</v>
      </c>
      <c r="C181">
        <v>-6.5049999999999386E-2</v>
      </c>
      <c r="D181">
        <v>-1</v>
      </c>
      <c r="E181" s="5">
        <v>-3.8695822873662678E-3</v>
      </c>
      <c r="F181" s="6">
        <v>14.439999580383301</v>
      </c>
      <c r="G181" s="6">
        <v>95.900091149591731</v>
      </c>
    </row>
    <row r="182" spans="1:7">
      <c r="A182" s="9">
        <v>45213</v>
      </c>
      <c r="B182">
        <v>16.79815</v>
      </c>
      <c r="C182">
        <v>-1.2450000000001182E-2</v>
      </c>
      <c r="D182">
        <v>-1</v>
      </c>
      <c r="E182" s="5">
        <v>-7.4115304363880441E-4</v>
      </c>
      <c r="F182" s="6">
        <v>15.22000026702881</v>
      </c>
      <c r="G182" s="6">
        <v>101.08029468974051</v>
      </c>
    </row>
    <row r="183" spans="1:7">
      <c r="A183" s="9">
        <v>45214</v>
      </c>
      <c r="B183">
        <v>16.661349999999999</v>
      </c>
      <c r="C183">
        <v>-0.13680000000000092</v>
      </c>
      <c r="D183">
        <v>-1</v>
      </c>
      <c r="E183" s="5">
        <v>-8.2106191875208744E-3</v>
      </c>
      <c r="F183" s="6">
        <v>13.840000152587891</v>
      </c>
      <c r="G183" s="6">
        <v>91.915326503652906</v>
      </c>
    </row>
    <row r="184" spans="1:7">
      <c r="A184" s="9">
        <v>45215</v>
      </c>
      <c r="B184">
        <v>16.700849999999999</v>
      </c>
      <c r="C184">
        <v>3.9500000000000313E-2</v>
      </c>
      <c r="D184">
        <v>1</v>
      </c>
      <c r="E184" s="5">
        <v>2.3651490792385007E-3</v>
      </c>
      <c r="F184" s="6">
        <v>13.75</v>
      </c>
      <c r="G184" s="6">
        <v>91.317610223357377</v>
      </c>
    </row>
    <row r="185" spans="1:7">
      <c r="A185" s="9">
        <v>45216</v>
      </c>
      <c r="B185">
        <v>16.717099999999999</v>
      </c>
      <c r="C185">
        <v>1.6249999999999432E-2</v>
      </c>
      <c r="D185">
        <v>1</v>
      </c>
      <c r="E185" s="5">
        <v>9.7205855082516904E-4</v>
      </c>
      <c r="F185" s="6">
        <v>14.39999961853027</v>
      </c>
      <c r="G185" s="6">
        <v>95.634440173195784</v>
      </c>
    </row>
    <row r="186" spans="1:7">
      <c r="A186" s="9">
        <v>45217</v>
      </c>
      <c r="B186">
        <v>16.807300000000001</v>
      </c>
      <c r="C186">
        <v>9.0200000000002944E-2</v>
      </c>
      <c r="D186">
        <v>1</v>
      </c>
      <c r="E186" s="5">
        <v>5.3667156533174836E-3</v>
      </c>
      <c r="F186" s="6">
        <v>14.329999923706049</v>
      </c>
      <c r="G186" s="6">
        <v>95.169552547907614</v>
      </c>
    </row>
    <row r="187" spans="1:7">
      <c r="A187" s="9">
        <v>45218</v>
      </c>
      <c r="B187">
        <v>16.681249999999999</v>
      </c>
      <c r="C187">
        <v>-0.12605000000000288</v>
      </c>
      <c r="D187">
        <v>-1</v>
      </c>
      <c r="E187" s="5">
        <v>-7.5563881603598589E-3</v>
      </c>
      <c r="F187" s="6">
        <v>13.819999694824221</v>
      </c>
      <c r="G187" s="6">
        <v>91.782497848645534</v>
      </c>
    </row>
    <row r="188" spans="1:7">
      <c r="A188" s="9">
        <v>45219</v>
      </c>
      <c r="B188">
        <v>16.739999999999998</v>
      </c>
      <c r="C188">
        <v>5.8749999999999858E-2</v>
      </c>
      <c r="D188">
        <v>1</v>
      </c>
      <c r="E188" s="5">
        <v>3.5095579450418078E-3</v>
      </c>
      <c r="F188" s="6">
        <v>13.039999961853029</v>
      </c>
      <c r="G188" s="6">
        <v>86.602300642115623</v>
      </c>
    </row>
    <row r="189" spans="1:7">
      <c r="A189" s="9">
        <v>45220</v>
      </c>
      <c r="B189">
        <v>16.761500000000002</v>
      </c>
      <c r="C189">
        <v>2.1500000000003183E-2</v>
      </c>
      <c r="D189">
        <v>1</v>
      </c>
      <c r="E189" s="5">
        <v>1.2827014288699209E-3</v>
      </c>
      <c r="F189" s="6">
        <v>12.920000076293951</v>
      </c>
      <c r="G189" s="6">
        <v>85.805347712927897</v>
      </c>
    </row>
    <row r="190" spans="1:7">
      <c r="A190" s="9">
        <v>45221</v>
      </c>
      <c r="B190">
        <v>16.643650000000001</v>
      </c>
      <c r="C190">
        <v>-0.11785000000000068</v>
      </c>
      <c r="D190">
        <v>-1</v>
      </c>
      <c r="E190" s="5">
        <v>-7.08077855518475E-3</v>
      </c>
      <c r="F190" s="6">
        <v>13.189999580383301</v>
      </c>
      <c r="G190" s="6">
        <v>87.5984902201956</v>
      </c>
    </row>
    <row r="191" spans="1:7">
      <c r="A191" s="9">
        <v>45222</v>
      </c>
      <c r="B191">
        <v>16.543099999999999</v>
      </c>
      <c r="C191">
        <v>-0.10055000000000192</v>
      </c>
      <c r="D191">
        <v>-1</v>
      </c>
      <c r="E191" s="5">
        <v>-6.0780627572826085E-3</v>
      </c>
      <c r="F191" s="6">
        <v>13.239999771118161</v>
      </c>
      <c r="G191" s="6">
        <v>87.930555524095197</v>
      </c>
    </row>
    <row r="192" spans="1:7">
      <c r="A192" s="9">
        <v>45223</v>
      </c>
      <c r="B192">
        <v>16.627700000000001</v>
      </c>
      <c r="C192">
        <v>8.4600000000001785E-2</v>
      </c>
      <c r="D192">
        <v>1</v>
      </c>
      <c r="E192" s="5">
        <v>5.0878954996783545E-3</v>
      </c>
      <c r="F192" s="6">
        <v>12.77999973297119</v>
      </c>
      <c r="G192" s="6">
        <v>84.875566128732686</v>
      </c>
    </row>
    <row r="193" spans="1:7">
      <c r="A193" s="9">
        <v>45224</v>
      </c>
      <c r="B193">
        <v>16.56465</v>
      </c>
      <c r="C193">
        <v>-6.3050000000000495E-2</v>
      </c>
      <c r="D193">
        <v>-1</v>
      </c>
      <c r="E193" s="5">
        <v>-3.8062983522139313E-3</v>
      </c>
      <c r="F193" s="6">
        <v>13.010000228881839</v>
      </c>
      <c r="G193" s="6">
        <v>86.403063993223412</v>
      </c>
    </row>
    <row r="194" spans="1:7">
      <c r="A194" s="9">
        <v>45225</v>
      </c>
      <c r="B194">
        <v>16.540800000000001</v>
      </c>
      <c r="C194">
        <v>-2.3849999999999483E-2</v>
      </c>
      <c r="D194">
        <v>-1</v>
      </c>
      <c r="E194" s="5">
        <v>-1.441889146836881E-3</v>
      </c>
      <c r="F194" s="6">
        <v>14.60999965667725</v>
      </c>
      <c r="G194" s="6">
        <v>97.029109382679138</v>
      </c>
    </row>
    <row r="195" spans="1:7">
      <c r="A195" s="9">
        <v>45226</v>
      </c>
      <c r="B195">
        <v>16.590499999999999</v>
      </c>
      <c r="C195">
        <v>4.9699999999997857E-2</v>
      </c>
      <c r="D195">
        <v>1</v>
      </c>
      <c r="E195" s="5">
        <v>2.9956903046923157E-3</v>
      </c>
      <c r="F195" s="6">
        <v>14.329999923706049</v>
      </c>
      <c r="G195" s="6">
        <v>95.169552547907614</v>
      </c>
    </row>
    <row r="196" spans="1:7">
      <c r="A196" s="9">
        <v>45227</v>
      </c>
      <c r="B196">
        <v>16.453749999999999</v>
      </c>
      <c r="C196">
        <v>-0.13674999999999926</v>
      </c>
      <c r="D196">
        <v>-1</v>
      </c>
      <c r="E196" s="5">
        <v>-8.311175263997524E-3</v>
      </c>
      <c r="F196" s="6">
        <v>16.35000038146973</v>
      </c>
      <c r="G196" s="6">
        <v>108.58494268994887</v>
      </c>
    </row>
    <row r="197" spans="1:7">
      <c r="A197" s="9">
        <v>45228</v>
      </c>
      <c r="B197">
        <v>16.387450000000001</v>
      </c>
      <c r="C197">
        <v>-6.6299999999998249E-2</v>
      </c>
      <c r="D197">
        <v>-1</v>
      </c>
      <c r="E197" s="5">
        <v>-4.0457789344893955E-3</v>
      </c>
      <c r="F197" s="6">
        <v>15.189999580383301</v>
      </c>
      <c r="G197" s="6">
        <v>100.8810517072294</v>
      </c>
    </row>
    <row r="198" spans="1:7">
      <c r="A198" s="9">
        <v>45229</v>
      </c>
      <c r="B198">
        <v>16.442799999999998</v>
      </c>
      <c r="C198">
        <v>5.5349999999997124E-2</v>
      </c>
      <c r="D198">
        <v>1</v>
      </c>
      <c r="E198" s="5">
        <v>3.3662149998781917E-3</v>
      </c>
      <c r="F198" s="6">
        <v>14.97999954223633</v>
      </c>
      <c r="G198" s="6">
        <v>99.486382497746106</v>
      </c>
    </row>
    <row r="199" spans="1:7">
      <c r="A199" s="9">
        <v>45230</v>
      </c>
      <c r="B199">
        <v>16.4406</v>
      </c>
      <c r="C199">
        <v>-2.1999999999984254E-3</v>
      </c>
      <c r="D199">
        <v>-1</v>
      </c>
      <c r="E199" s="5">
        <v>-1.3381506757651336E-4</v>
      </c>
      <c r="F199" s="6">
        <v>15.80000019073486</v>
      </c>
      <c r="G199" s="6">
        <v>104.93223701429078</v>
      </c>
    </row>
    <row r="200" spans="1:7">
      <c r="A200" s="9">
        <v>45231</v>
      </c>
      <c r="B200">
        <v>16.64395</v>
      </c>
      <c r="C200">
        <v>0.20335000000000036</v>
      </c>
      <c r="D200">
        <v>1</v>
      </c>
      <c r="E200" s="5">
        <v>1.2217652660576388E-2</v>
      </c>
      <c r="F200" s="6">
        <v>14.909999847412109</v>
      </c>
      <c r="G200" s="6">
        <v>99.02149487245795</v>
      </c>
    </row>
    <row r="202" spans="1:7">
      <c r="G202" s="6">
        <f>MIN(G3:G199)</f>
        <v>80.160256547490945</v>
      </c>
    </row>
    <row r="203" spans="1:7">
      <c r="G203" s="6">
        <f>MAX(G3:G199)</f>
        <v>142.12340537781407</v>
      </c>
    </row>
  </sheetData>
  <autoFilter ref="A1:G200">
    <sortState ref="A2:G200">
      <sortCondition ref="A1:A200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2024-04-12T22:55:41Z</dcterms:created>
  <dcterms:modified xsi:type="dcterms:W3CDTF">2024-04-13T16:42:49Z</dcterms:modified>
</cp:coreProperties>
</file>